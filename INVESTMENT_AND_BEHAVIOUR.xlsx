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8.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ridh\OneDrive\Desktop\Panigrahyanalytics\Cognify\"/>
    </mc:Choice>
  </mc:AlternateContent>
  <xr:revisionPtr revIDLastSave="0" documentId="13_ncr:1_{8B9E4BAA-0615-4584-B55C-BAE045A731F1}" xr6:coauthVersionLast="47" xr6:coauthVersionMax="47" xr10:uidLastSave="{00000000-0000-0000-0000-000000000000}"/>
  <bookViews>
    <workbookView xWindow="-110" yWindow="-110" windowWidth="19420" windowHeight="10300" firstSheet="5" activeTab="8" xr2:uid="{B4E594FA-CF3C-4D1B-AFAE-D06C4999A187}"/>
  </bookViews>
  <sheets>
    <sheet name="GENDER_DISTRIBUTION" sheetId="3" r:id="rId1"/>
    <sheet name="PREFERED_INVESTMENT_AVENUE" sheetId="4" r:id="rId2"/>
    <sheet name="REASONS" sheetId="5" r:id="rId3"/>
    <sheet name="SAVINGS OF OBEJECTIVE" sheetId="6" r:id="rId4"/>
    <sheet name="INFORMATION_SOURCE" sheetId="7" r:id="rId5"/>
    <sheet name="DURATION" sheetId="8" r:id="rId6"/>
    <sheet name="EXPECTATION" sheetId="9" r:id="rId7"/>
    <sheet name="Data_set 2 - Copy" sheetId="2" r:id="rId8"/>
    <sheet name="DASHBOARD" sheetId="10" r:id="rId9"/>
  </sheets>
  <definedNames>
    <definedName name="ExternalData_1" localSheetId="7" hidden="1">'Data_set 2 - Copy'!$A$1:$Y$41</definedName>
    <definedName name="Slicer_Avenue">#N/A</definedName>
    <definedName name="Slicer_Duration">#N/A</definedName>
    <definedName name="Slicer_Expect">#N/A</definedName>
    <definedName name="Slicer_gender">#N/A</definedName>
    <definedName name="Slicer_Reason_Bonds">#N/A</definedName>
    <definedName name="Slicer_Reason_Equity">#N/A</definedName>
    <definedName name="Slicer_Reason_FD">#N/A</definedName>
    <definedName name="Slicer_Reason_Mutual">#N/A</definedName>
    <definedName name="Slicer_Source">#N/A</definedName>
    <definedName name="Slicer_What_are_your_savings_objective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E49" i="2"/>
  <c r="G45" i="2"/>
  <c r="E44" i="2"/>
  <c r="C4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4054A8-439F-4F3C-8927-DFC210B903B6}" keepAlive="1" name="Query - Data_set 2 - Copy" description="Connection to the 'Data_set 2 - Copy' query in the workbook." type="5" refreshedVersion="8" background="1" saveData="1">
    <dbPr connection="Provider=Microsoft.Mashup.OleDb.1;Data Source=$Workbook$;Location=&quot;Data_set 2 - Copy&quot;;Extended Properties=&quot;&quot;" command="SELECT * FROM [Data_set 2 - Copy]"/>
  </connection>
</connections>
</file>

<file path=xl/sharedStrings.xml><?xml version="1.0" encoding="utf-8"?>
<sst xmlns="http://schemas.openxmlformats.org/spreadsheetml/2006/main" count="761" uniqueCount="92">
  <si>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</si>
  <si>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</si>
  <si>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</si>
  <si>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</si>
  <si>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</si>
  <si>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</si>
  <si>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</si>
  <si>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</si>
  <si>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</si>
  <si>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</si>
  <si>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</si>
  <si>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</si>
  <si>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</si>
  <si>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</si>
  <si>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</si>
  <si>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</si>
  <si>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</si>
  <si>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</si>
  <si>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</si>
  <si>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</si>
  <si>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</si>
  <si>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</si>
  <si>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</si>
  <si>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</si>
  <si>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</si>
  <si>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</si>
  <si>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</si>
  <si>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</si>
  <si>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</si>
  <si>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</si>
  <si>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</si>
  <si>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</si>
  <si>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</si>
  <si>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</si>
  <si>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</si>
  <si>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</si>
  <si>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</si>
  <si>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</si>
  <si>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</si>
  <si>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</si>
  <si>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</si>
  <si>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</si>
  <si>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</si>
  <si>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</si>
  <si>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</si>
  <si>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</si>
  <si>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</si>
  <si>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</si>
  <si>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</si>
  <si>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</si>
  <si>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</si>
  <si>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</si>
  <si>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</si>
  <si>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</si>
  <si>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</si>
  <si>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</si>
  <si>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</si>
  <si>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</si>
  <si>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</si>
  <si>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</si>
  <si>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</si>
  <si>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</si>
  <si>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</si>
  <si>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</si>
  <si>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</si>
  <si>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</si>
  <si>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TOTAL CELLS</t>
  </si>
  <si>
    <t>AVERAGE AGE</t>
  </si>
  <si>
    <t>STD. DEVIATION</t>
  </si>
  <si>
    <t>Row Labels</t>
  </si>
  <si>
    <t>Grand Total</t>
  </si>
  <si>
    <t>Count of gender</t>
  </si>
  <si>
    <t>MEDIAN AGE</t>
  </si>
  <si>
    <t>Count of Avenue</t>
  </si>
  <si>
    <t>Count of Reason_Equity</t>
  </si>
  <si>
    <t>Count of Reason_Mutual</t>
  </si>
  <si>
    <t>Count of Reason_Bonds</t>
  </si>
  <si>
    <t>Count of Reason_FD</t>
  </si>
  <si>
    <t>Count of What are your savings objectives?</t>
  </si>
  <si>
    <t>Count of Source</t>
  </si>
  <si>
    <t>Count of Duration</t>
  </si>
  <si>
    <t>Count of Expect</t>
  </si>
  <si>
    <t>Duration Flag</t>
  </si>
  <si>
    <t>GENDER</t>
  </si>
  <si>
    <t>AGE</t>
  </si>
  <si>
    <t>GENDER DISTRIBUTION</t>
  </si>
  <si>
    <t>PREFERED INVESTMENT AVENUE</t>
  </si>
  <si>
    <t>REASONS</t>
  </si>
  <si>
    <t>SAVINGS OBJECTIVES</t>
  </si>
  <si>
    <t>DURATION</t>
  </si>
  <si>
    <t>EXPECTATION</t>
  </si>
  <si>
    <t>INVESTMENT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</si>
</sst>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b/>
      <i/>
      <sz val="11"/>
      <color rgb="FF9C5700"/>
      <name val="Calibri"/>
      <family val="2"/>
      <scheme val="minor"/>
    </font>
    <font>
      <b/>
      <i/>
      <sz val="11"/>
      <color theme="1"/>
      <name val="Calibri"/>
      <family val="2"/>
      <scheme val="minor"/>
    </font>
    <font>
      <b/>
      <i/>
      <sz val="22"/>
      <color rgb="FF0099FF"/>
      <name val="Calibri"/>
      <family val="2"/>
      <scheme val="minor"/>
    </font>
    <font>
      <b/>
      <sz val="18"/>
      <color theme="2"/>
      <name val="Calibri"/>
      <family val="2"/>
      <scheme val="minor"/>
    </font>
    <font>
      <b/>
      <sz val="18"/>
      <color theme="0"/>
      <name val="Calibri"/>
      <family val="2"/>
      <scheme val="minor"/>
    </font>
  </fonts>
  <fills count="15">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9"/>
      </patternFill>
    </fill>
    <fill>
      <patternFill patternType="solid">
        <fgColor rgb="FF66FFFF"/>
        <bgColor indexed="64"/>
      </patternFill>
    </fill>
    <fill>
      <patternFill patternType="solid">
        <fgColor rgb="FFFFFF00"/>
        <bgColor indexed="64"/>
      </patternFill>
    </fill>
    <fill>
      <patternFill patternType="solid">
        <fgColor theme="8"/>
        <bgColor indexed="64"/>
      </patternFill>
    </fill>
    <fill>
      <patternFill patternType="solid">
        <fgColor theme="5"/>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7">
    <xf numFmtId="0" fontId="0" fillId="0" borderId="0"/>
    <xf numFmtId="0" fontId="2" fillId="2" borderId="0" applyNumberFormat="0" applyBorder="0" applyAlignment="0" applyProtection="0"/>
    <xf numFmtId="0" fontId="3" fillId="3" borderId="1" applyNumberFormat="0" applyAlignment="0" applyProtection="0"/>
    <xf numFmtId="0" fontId="4" fillId="4" borderId="1" applyNumberFormat="0" applyAlignment="0" applyProtection="0"/>
    <xf numFmtId="0" fontId="5" fillId="5" borderId="2" applyNumberFormat="0" applyAlignment="0" applyProtection="0"/>
    <xf numFmtId="0" fontId="1" fillId="6" borderId="3" applyNumberFormat="0" applyFont="0" applyAlignment="0" applyProtection="0"/>
    <xf numFmtId="0" fontId="6" fillId="7" borderId="0" applyNumberFormat="0" applyBorder="0" applyAlignment="0" applyProtection="0"/>
  </cellStyleXfs>
  <cellXfs count="23">
    <xf numFmtId="0" fontId="0" fillId="0" borderId="0" xfId="0"/>
    <xf numFmtId="0" fontId="0" fillId="0" borderId="0" xfId="0" applyAlignment="1">
      <alignment horizontal="center" vertical="center"/>
    </xf>
    <xf numFmtId="0" fontId="7" fillId="2" borderId="0" xfId="1" applyFont="1" applyAlignment="1">
      <alignment horizontal="center" vertical="center"/>
    </xf>
    <xf numFmtId="0" fontId="8" fillId="0" borderId="0" xfId="0" applyFont="1"/>
    <xf numFmtId="0" fontId="8" fillId="0" borderId="0" xfId="0" applyFont="1" applyAlignment="1">
      <alignment horizontal="center" vertical="center"/>
    </xf>
    <xf numFmtId="0" fontId="5" fillId="5" borderId="2" xfId="4" applyAlignment="1">
      <alignment horizontal="center" vertical="center"/>
    </xf>
    <xf numFmtId="0" fontId="8" fillId="6" borderId="3" xfId="5" applyFont="1" applyAlignment="1">
      <alignment horizontal="center" vertical="center"/>
    </xf>
    <xf numFmtId="0" fontId="0" fillId="0" borderId="0" xfId="0" pivotButton="1"/>
    <xf numFmtId="0" fontId="0" fillId="0" borderId="0" xfId="0" applyAlignment="1">
      <alignment horizontal="left"/>
    </xf>
    <xf numFmtId="0" fontId="3" fillId="3" borderId="1" xfId="2" applyAlignment="1">
      <alignment horizontal="center" vertical="center"/>
    </xf>
    <xf numFmtId="0" fontId="0" fillId="0" borderId="0" xfId="0" applyAlignment="1">
      <alignment horizontal="left" indent="1"/>
    </xf>
    <xf numFmtId="0" fontId="0" fillId="0" borderId="0" xfId="0" pivotButton="1" applyAlignment="1">
      <alignment horizontal="center" vertical="center"/>
    </xf>
    <xf numFmtId="0" fontId="0" fillId="0" borderId="0" xfId="0" applyAlignment="1">
      <alignment horizontal="left" indent="2"/>
    </xf>
    <xf numFmtId="0" fontId="0" fillId="0" borderId="0" xfId="0" applyAlignment="1">
      <alignment horizontal="left" indent="3"/>
    </xf>
    <xf numFmtId="0" fontId="6" fillId="7" borderId="0" xfId="6" applyNumberFormat="1" applyAlignment="1">
      <alignment horizontal="center" vertical="center"/>
    </xf>
    <xf numFmtId="0" fontId="4" fillId="4" borderId="1" xfId="3" applyAlignment="1">
      <alignment horizontal="center" vertical="center"/>
    </xf>
    <xf numFmtId="0" fontId="0" fillId="8" borderId="0" xfId="0" applyFill="1"/>
    <xf numFmtId="0" fontId="9" fillId="9" borderId="0" xfId="0" applyFont="1" applyFill="1" applyAlignment="1">
      <alignment horizontal="center" vertical="center"/>
    </xf>
    <xf numFmtId="0" fontId="10" fillId="10" borderId="0" xfId="0" applyFont="1" applyFill="1" applyAlignment="1">
      <alignment horizontal="center" vertical="center"/>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1" fillId="13" borderId="0" xfId="0" applyFont="1" applyFill="1" applyAlignment="1">
      <alignment horizontal="center" vertical="center"/>
    </xf>
    <xf numFmtId="0" fontId="11" fillId="14" borderId="0" xfId="0" applyFont="1" applyFill="1" applyAlignment="1">
      <alignment horizontal="center" vertical="center"/>
    </xf>
  </cellXfs>
  <cellStyles count="7">
    <cellStyle name="Accent6" xfId="6" builtinId="49"/>
    <cellStyle name="Calculation" xfId="3" builtinId="22"/>
    <cellStyle name="Check Cell" xfId="4" builtinId="23"/>
    <cellStyle name="Input" xfId="2" builtinId="20"/>
    <cellStyle name="Neutral" xfId="1" builtinId="28"/>
    <cellStyle name="Normal" xfId="0" builtinId="0"/>
    <cellStyle name="Note" xfId="5" builtinId="10"/>
  </cellStyles>
  <dxfs count="31">
    <dxf>
      <fill>
        <patternFill>
          <bgColor rgb="FFFFC7CE"/>
        </patternFill>
      </fill>
    </dxf>
    <dxf>
      <font>
        <color rgb="FF006100"/>
      </font>
      <fill>
        <patternFill>
          <bgColor rgb="FFC6EFCE"/>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dxf>
    <dxf>
      <alignment horizontal="center"/>
    </dxf>
  </dxfs>
  <tableStyles count="0" defaultTableStyle="TableStyleMedium2" defaultPivotStyle="PivotStyleLight16"/>
  <colors>
    <mruColors>
      <color rgb="FF0099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[COGNIFYZ.xlsx]GENDER_DISTRIBUTION!PivotTable1</c:name>
    <c:fmtId val="0"/>
  </c:pivotSource>
  <c:chart>
    <c:title>
      <c:layout>
        <c:manualLayout>
          <c:xMode val="edge"/>
          <c:yMode val="edge"/>
          <c:x val="4.4932432432432473E-2"/>
          <c:y val="0.365591143212361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4927856990849118"/>
          <c:y val="4.1320466520632287E-2"/>
          <c:w val="0.50128537986805699"/>
          <c:h val="0.89251411994553309"/>
        </c:manualLayout>
      </c:layout>
      <c:doughnutChart>
        <c:varyColors val="1"/>
        <c:ser>
          <c:idx val="0"/>
          <c:order val="0"/>
          <c:tx>
            <c:strRef>
              <c:f>GENDER_DISTRIBUTION!$B$3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8-46C7-B772-32E613E87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8-46C7-B772-32E613E87C84}"/>
              </c:ext>
            </c:extLst>
          </c:dPt>
          <c:cat>
            <c:strRef>
              <c:f>GENDER_DISTRIBUTION!$A$4:$A$6</c:f>
              <c:strCache>
                <c:ptCount val="2"/>
                <c:pt idx="0">
                  <c:v>Female</c:v>
                </c:pt>
                <c:pt idx="1">
                  <c:v>Male</c:v>
                </c:pt>
              </c:strCache>
            </c:strRef>
          </c:cat>
          <c:val>
            <c:numRef>
              <c:f>GENDER_DISTRIBUTION!$B$4:$B$6</c:f>
              <c:numCache>
                <c:formatCode>General</c:formatCode>
                <c:ptCount val="2"/>
                <c:pt idx="0">
                  <c:v>15</c:v>
                </c:pt>
                <c:pt idx="1">
                  <c:v>25</c:v>
                </c:pt>
              </c:numCache>
            </c:numRef>
          </c:val>
          <c:extLst>
            <c:ext xmlns:c16="http://schemas.microsoft.com/office/drawing/2014/chart" uri="{C3380CC4-5D6E-409C-BE32-E72D297353CC}">
              <c16:uniqueId val="{00000000-02F8-40A4-B775-1C89243282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[COGNIFYZ.xlsx]PREFERED_INVESTMENT_AVENUE!PivotTable2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PREFERED_INVESTMENT_AVENUE!$B$3</c:f>
              <c:strCache>
                <c:ptCount val="1"/>
                <c:pt idx="0">
                  <c:v>Total</c:v>
                </c:pt>
              </c:strCache>
            </c:strRef>
          </c:tx>
          <c:spPr>
            <a:solidFill>
              <a:schemeClr val="accent1"/>
            </a:solidFill>
            <a:ln>
              <a:noFill/>
            </a:ln>
            <a:effectLst/>
            <a:sp3d/>
          </c:spPr>
          <c:invertIfNegative val="0"/>
          <c:cat>
            <c:strRef>
              <c:f>PREFERED_INVESTMENT_AVENUE!$A$4:$A$8</c:f>
              <c:strCache>
                <c:ptCount val="4"/>
                <c:pt idx="0">
                  <c:v>Equity</c:v>
                </c:pt>
                <c:pt idx="1">
                  <c:v>Fixed Deposits</c:v>
                </c:pt>
                <c:pt idx="2">
                  <c:v>Mutual Fund</c:v>
                </c:pt>
                <c:pt idx="3">
                  <c:v>Public Provident Fund</c:v>
                </c:pt>
              </c:strCache>
            </c:strRef>
          </c:cat>
          <c:val>
            <c:numRef>
              <c:f>PREFERED_INVESTMENT_AVENUE!$B$4:$B$8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2-2FA3-4745-9B9F-376F013998A1}"/>
            </c:ext>
          </c:extLst>
        </c:ser>
        <c:dLbls>
          <c:showLegendKey val="0"/>
          <c:showVal val="0"/>
          <c:showCatName val="0"/>
          <c:showSerName val="0"/>
          <c:showPercent val="0"/>
          <c:showBubbleSize val="0"/>
        </c:dLbls>
        <c:gapWidth val="150"/>
        <c:shape val="box"/>
        <c:axId val="1452271152"/>
        <c:axId val="1452272592"/>
        <c:axId val="0"/>
      </c:bar3DChart>
      <c:catAx>
        <c:axId val="145227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2592"/>
        <c:crosses val="autoZero"/>
        <c:auto val="1"/>
        <c:lblAlgn val="ctr"/>
        <c:lblOffset val="100"/>
        <c:noMultiLvlLbl val="0"/>
      </c:catAx>
      <c:valAx>
        <c:axId val="145227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[COGNIFYZ.xlsx]REASONS!PivotTable3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s>
    <c:plotArea>
      <c:layout/>
      <c:pieChart>
        <c:varyColors val="1"/>
        <c:ser>
          <c:idx val="0"/>
          <c:order val="0"/>
          <c:tx>
            <c:strRef>
              <c:f>REASONS!$B$3</c:f>
              <c:strCache>
                <c:ptCount val="1"/>
                <c:pt idx="0">
                  <c:v>Count of Reason_FD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REASONS!$B$4:$B$45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0-C859-4AA8-948B-E47707F4D63A}"/>
            </c:ext>
          </c:extLst>
        </c:ser>
        <c:ser>
          <c:idx val="1"/>
          <c:order val="1"/>
          <c:tx>
            <c:strRef>
              <c:f>REASONS!$C$3</c:f>
              <c:strCache>
                <c:ptCount val="1"/>
                <c:pt idx="0">
                  <c:v>Count of Reason_Mutual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1-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3-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5-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7-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9-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B-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D-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F-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1-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REASONS!$C$4:$C$45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1-C859-4AA8-948B-E47707F4D63A}"/>
            </c:ext>
          </c:extLst>
        </c:ser>
        <c:ser>
          <c:idx val="2"/>
          <c:order val="2"/>
          <c:tx>
            <c:strRef>
              <c:f>REASONS!$D$3</c:f>
              <c:strCache>
                <c:ptCount val="1"/>
                <c:pt idx="0">
                  <c:v>Count of Reason_Bonds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5-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7-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9-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B-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F-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1-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3-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5-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7-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9-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B-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REASONS!$D$4:$D$45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2-C859-4AA8-948B-E47707F4D63A}"/>
            </c:ext>
          </c:extLst>
        </c:ser>
        <c:ser>
          <c:idx val="3"/>
          <c:order val="3"/>
          <c:tx>
            <c:strRef>
              <c:f>REASONS!$E$3</c:f>
              <c:strCache>
                <c:ptCount val="1"/>
                <c:pt idx="0">
                  <c:v>Count of Reason_Equity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1-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3-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5-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7-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REASONS!$E$4:$E$45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3-C859-4AA8-948B-E47707F4D6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[COGNIFYZ.xlsx]SAVINGS OF OBEJECTIVE!PivotTable4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'SAVINGS OF OBEJECTIVE'!$B$3</c:f>
              <c:strCache>
                <c:ptCount val="1"/>
                <c:pt idx="0">
                  <c:v>Total</c:v>
                </c:pt>
              </c:strCache>
            </c:strRef>
          </c:tx>
          <c:spPr>
            <a:solidFill>
              <a:schemeClr val="accent1"/>
            </a:solidFill>
            <a:ln>
              <a:noFill/>
            </a:ln>
            <a:effectLst/>
            <a:sp3d/>
          </c:spPr>
          <c:invertIfNegative val="0"/>
          <c:cat>
            <c:strRef>
              <c:f>'SAVINGS OF OBEJECTIVE'!$A$4:$A$7</c:f>
              <c:strCache>
                <c:ptCount val="3"/>
                <c:pt idx="0">
                  <c:v>Education</c:v>
                </c:pt>
                <c:pt idx="1">
                  <c:v>Health Care</c:v>
                </c:pt>
                <c:pt idx="2">
                  <c:v>Retirement Plan</c:v>
                </c:pt>
              </c:strCache>
            </c:strRef>
          </c:cat>
          <c:val>
            <c:numRef>
              <c:f>'SAVINGS OF OBEJECTIVE'!$B$4:$B$7</c:f>
              <c:numCache>
                <c:formatCode>General</c:formatCode>
                <c:ptCount val="3"/>
                <c:pt idx="0">
                  <c:v>3</c:v>
                </c:pt>
                <c:pt idx="1">
                  <c:v>13</c:v>
                </c:pt>
                <c:pt idx="2">
                  <c:v>24</c:v>
                </c:pt>
              </c:numCache>
            </c:numRef>
          </c:val>
          <c:extLst>
            <c:ext xmlns:c16="http://schemas.microsoft.com/office/drawing/2014/chart" uri="{C3380CC4-5D6E-409C-BE32-E72D297353CC}">
              <c16:uniqueId val="{00000000-D5D3-4B17-A1AA-D3613E4237D5}"/>
            </c:ext>
          </c:extLst>
        </c:ser>
        <c:dLbls>
          <c:showLegendKey val="0"/>
          <c:showVal val="0"/>
          <c:showCatName val="0"/>
          <c:showSerName val="0"/>
          <c:showPercent val="0"/>
          <c:showBubbleSize val="0"/>
        </c:dLbls>
        <c:gapWidth val="150"/>
        <c:shape val="box"/>
        <c:axId val="401097744"/>
        <c:axId val="401090544"/>
        <c:axId val="1127130432"/>
      </c:bar3DChart>
      <c:catAx>
        <c:axId val="40109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0544"/>
        <c:crosses val="autoZero"/>
        <c:auto val="1"/>
        <c:lblAlgn val="ctr"/>
        <c:lblOffset val="100"/>
        <c:noMultiLvlLbl val="0"/>
      </c:catAx>
      <c:valAx>
        <c:axId val="40109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7744"/>
        <c:crosses val="autoZero"/>
        <c:crossBetween val="between"/>
      </c:valAx>
      <c:serAx>
        <c:axId val="11271304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05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[COGNIFYZ.xlsx]INFORMATION_SOURCE!PivotTable5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INFORMATION_SOURCE!$B$3</c:f>
              <c:strCache>
                <c:ptCount val="1"/>
                <c:pt idx="0">
                  <c:v>Total</c:v>
                </c:pt>
              </c:strCache>
            </c:strRef>
          </c:tx>
          <c:spPr>
            <a:solidFill>
              <a:schemeClr val="accent1"/>
            </a:solidFill>
            <a:ln>
              <a:noFill/>
            </a:ln>
            <a:effectLst/>
            <a:sp3d/>
          </c:spPr>
          <c:cat>
            <c:strRef>
              <c:f>INFORMATION_SOURCE!$A$4:$A$8</c:f>
              <c:strCache>
                <c:ptCount val="4"/>
                <c:pt idx="0">
                  <c:v>Financial Consultants</c:v>
                </c:pt>
                <c:pt idx="1">
                  <c:v>Internet</c:v>
                </c:pt>
                <c:pt idx="2">
                  <c:v>Newspapers and Magazines</c:v>
                </c:pt>
                <c:pt idx="3">
                  <c:v>Television</c:v>
                </c:pt>
              </c:strCache>
            </c:strRef>
          </c:cat>
          <c:val>
            <c:numRef>
              <c:f>INFORMATION_SOURCE!$B$4:$B$8</c:f>
              <c:numCache>
                <c:formatCode>General</c:formatCode>
                <c:ptCount val="4"/>
                <c:pt idx="0">
                  <c:v>16</c:v>
                </c:pt>
                <c:pt idx="1">
                  <c:v>4</c:v>
                </c:pt>
                <c:pt idx="2">
                  <c:v>14</c:v>
                </c:pt>
                <c:pt idx="3">
                  <c:v>6</c:v>
                </c:pt>
              </c:numCache>
            </c:numRef>
          </c:val>
          <c:smooth val="0"/>
          <c:extLst>
            <c:ext xmlns:c16="http://schemas.microsoft.com/office/drawing/2014/chart" uri="{C3380CC4-5D6E-409C-BE32-E72D297353CC}">
              <c16:uniqueId val="{00000000-F3CD-4E72-AEEC-2554695E5D27}"/>
            </c:ext>
          </c:extLst>
        </c:ser>
        <c:dLbls>
          <c:showLegendKey val="0"/>
          <c:showVal val="0"/>
          <c:showCatName val="0"/>
          <c:showSerName val="0"/>
          <c:showPercent val="0"/>
          <c:showBubbleSize val="0"/>
        </c:dLbls>
        <c:axId val="394763664"/>
        <c:axId val="394764144"/>
        <c:axId val="396881328"/>
      </c:line3DChart>
      <c:catAx>
        <c:axId val="394763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4144"/>
        <c:crosses val="autoZero"/>
        <c:auto val="1"/>
        <c:lblAlgn val="ctr"/>
        <c:lblOffset val="100"/>
        <c:noMultiLvlLbl val="0"/>
      </c:catAx>
      <c:valAx>
        <c:axId val="39476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3664"/>
        <c:crosses val="autoZero"/>
        <c:crossBetween val="between"/>
      </c:valAx>
      <c:serAx>
        <c:axId val="39688132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41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[COGNIFYZ.xlsx]DURATION!PivotTable6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DURATION!$B$3</c:f>
              <c:strCache>
                <c:ptCount val="1"/>
                <c:pt idx="0">
                  <c:v>Total</c:v>
                </c:pt>
              </c:strCache>
            </c:strRef>
          </c:tx>
          <c:spPr>
            <a:solidFill>
              <a:schemeClr val="accent1"/>
            </a:solidFill>
            <a:ln>
              <a:noFill/>
            </a:ln>
            <a:effectLst/>
            <a:sp3d/>
          </c:spPr>
          <c:invertIfNegative val="0"/>
          <c:cat>
            <c:strRef>
              <c:f>DURATION!$A$4:$A$8</c:f>
              <c:strCache>
                <c:ptCount val="4"/>
                <c:pt idx="0">
                  <c:v>1-3 years</c:v>
                </c:pt>
                <c:pt idx="1">
                  <c:v>3-5 years</c:v>
                </c:pt>
                <c:pt idx="2">
                  <c:v>Less than 1 year</c:v>
                </c:pt>
                <c:pt idx="3">
                  <c:v>More than 5 years</c:v>
                </c:pt>
              </c:strCache>
            </c:strRef>
          </c:cat>
          <c:val>
            <c:numRef>
              <c:f>DURATION!$B$4:$B$8</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42C0-4D66-BBD9-EBD9F4E5A3BD}"/>
            </c:ext>
          </c:extLst>
        </c:ser>
        <c:dLbls>
          <c:showLegendKey val="0"/>
          <c:showVal val="0"/>
          <c:showCatName val="0"/>
          <c:showSerName val="0"/>
          <c:showPercent val="0"/>
          <c:showBubbleSize val="0"/>
        </c:dLbls>
        <c:gapWidth val="150"/>
        <c:shape val="box"/>
        <c:axId val="392323808"/>
        <c:axId val="392324288"/>
        <c:axId val="0"/>
      </c:bar3DChart>
      <c:catAx>
        <c:axId val="39232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4288"/>
        <c:crosses val="autoZero"/>
        <c:auto val="1"/>
        <c:lblAlgn val="ctr"/>
        <c:lblOffset val="100"/>
        <c:noMultiLvlLbl val="0"/>
      </c:catAx>
      <c:valAx>
        <c:axId val="39232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'Data_set 2 - Copy'!$P$1</c:f>
              <c:strCache>
                <c:ptCount val="1"/>
                <c:pt idx="0">
                  <c:v>Duration Flag</c:v>
                </c:pt>
              </c:strCache>
            </c:strRef>
          </c:tx>
          <c:spPr>
            <a:ln w="22225" cap="rnd">
              <a:solidFill>
                <a:schemeClr val="accent6"/>
              </a:solidFill>
              <a:round/>
            </a:ln>
            <a:effectLst/>
          </c:spPr>
          <c:marker>
            <c:symbol val="none"/>
          </c:marker>
          <c:trendline>
            <c:spPr>
              <a:ln w="9525" cap="rnd">
                <a:solidFill>
                  <a:schemeClr val="accent6"/>
                </a:solidFill>
              </a:ln>
              <a:effectLst/>
            </c:spPr>
            <c:trendlineType val="linear"/>
            <c:dispRSqr val="0"/>
            <c:dispEq val="0"/>
          </c:trendline>
          <c:xVal>
            <c:strRef>
              <c:f>'Data_set 2 - Copy'!$O$2:$O$41</c:f>
              <c:strCache>
                <c:ptCount val="40"/>
                <c:pt idx="0">
                  <c:v>1-3 years</c:v>
                </c:pt>
                <c:pt idx="1">
                  <c:v>More than 5 years</c:v>
                </c:pt>
                <c:pt idx="2">
                  <c:v>3-5 years</c:v>
                </c:pt>
                <c:pt idx="3">
                  <c:v>Less than 1 year</c:v>
                </c:pt>
                <c:pt idx="4">
                  <c:v>Less than 1 year</c:v>
                </c:pt>
                <c:pt idx="5">
                  <c:v>1-3 years</c:v>
                </c:pt>
                <c:pt idx="6">
                  <c:v>3-5 years</c:v>
                </c:pt>
                <c:pt idx="7">
                  <c:v>3-5 years</c:v>
                </c:pt>
                <c:pt idx="8">
                  <c:v>1-3 years</c:v>
                </c:pt>
                <c:pt idx="9">
                  <c:v>3-5 years</c:v>
                </c:pt>
                <c:pt idx="10">
                  <c:v>3-5 years</c:v>
                </c:pt>
                <c:pt idx="11">
                  <c:v>1-3 years</c:v>
                </c:pt>
                <c:pt idx="12">
                  <c:v>1-3 years</c:v>
                </c:pt>
                <c:pt idx="13">
                  <c:v>1-3 years</c:v>
                </c:pt>
                <c:pt idx="14">
                  <c:v>1-3 years</c:v>
                </c:pt>
                <c:pt idx="15">
                  <c:v>1-3 years</c:v>
                </c:pt>
                <c:pt idx="16">
                  <c:v>1-3 years</c:v>
                </c:pt>
                <c:pt idx="17">
                  <c:v>1-3 years</c:v>
                </c:pt>
                <c:pt idx="18">
                  <c:v>1-3 years</c:v>
                </c:pt>
                <c:pt idx="19">
                  <c:v>3-5 years</c:v>
                </c:pt>
                <c:pt idx="20">
                  <c:v>3-5 years</c:v>
                </c:pt>
                <c:pt idx="21">
                  <c:v>3-5 years</c:v>
                </c:pt>
                <c:pt idx="22">
                  <c:v>3-5 years</c:v>
                </c:pt>
                <c:pt idx="23">
                  <c:v>3-5 years</c:v>
                </c:pt>
                <c:pt idx="24">
                  <c:v>3-5 years</c:v>
                </c:pt>
                <c:pt idx="25">
                  <c:v>3-5 years</c:v>
                </c:pt>
                <c:pt idx="26">
                  <c:v>3-5 years</c:v>
                </c:pt>
                <c:pt idx="27">
                  <c:v>1-3 years</c:v>
                </c:pt>
                <c:pt idx="28">
                  <c:v>1-3 years</c:v>
                </c:pt>
                <c:pt idx="29">
                  <c:v>3-5 years</c:v>
                </c:pt>
                <c:pt idx="30">
                  <c:v>1-3 years</c:v>
                </c:pt>
                <c:pt idx="31">
                  <c:v>3-5 years</c:v>
                </c:pt>
                <c:pt idx="32">
                  <c:v>3-5 years</c:v>
                </c:pt>
                <c:pt idx="33">
                  <c:v>1-3 years</c:v>
                </c:pt>
                <c:pt idx="34">
                  <c:v>1-3 years</c:v>
                </c:pt>
                <c:pt idx="35">
                  <c:v>3-5 years</c:v>
                </c:pt>
                <c:pt idx="36">
                  <c:v>1-3 years</c:v>
                </c:pt>
                <c:pt idx="37">
                  <c:v>3-5 years</c:v>
                </c:pt>
                <c:pt idx="38">
                  <c:v>1-3 years</c:v>
                </c:pt>
                <c:pt idx="39">
                  <c:v>3-5 years</c:v>
                </c:pt>
              </c:strCache>
            </c:strRef>
          </c:xVal>
          <c:yVal>
            <c:numRef>
              <c:f>'Data_set 2 - Copy'!$P$2:$P$41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yVal>
          <c:smooth val="0"/>
          <c:extLst>
            <c:ext xmlns:c16="http://schemas.microsoft.com/office/drawing/2014/chart" uri="{C3380CC4-5D6E-409C-BE32-E72D297353CC}">
              <c16:uniqueId val="{00000001-1089-46BD-91B2-5BF8C55AC19C}"/>
            </c:ext>
          </c:extLst>
        </c:ser>
        <c:dLbls>
          <c:showLegendKey val="0"/>
          <c:showVal val="0"/>
          <c:showCatName val="0"/>
          <c:showSerName val="0"/>
          <c:showPercent val="0"/>
          <c:showBubbleSize val="0"/>
        </c:dLbls>
        <c:axId val="394765584"/>
        <c:axId val="394769904"/>
      </c:scatterChart>
      <c:valAx>
        <c:axId val="3947655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94769904"/>
        <c:crosses val="autoZero"/>
        <c:crossBetween val="midCat"/>
      </c:valAx>
      <c:valAx>
        <c:axId val="3947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[COGNIFYZ.xlsx]EXPECTATION!PivotTable7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EXPECTATION!$B$3</c:f>
              <c:strCache>
                <c:ptCount val="1"/>
                <c:pt idx="0">
                  <c:v>Total</c:v>
                </c:pt>
              </c:strCache>
            </c:strRef>
          </c:tx>
          <c:spPr>
            <a:solidFill>
              <a:schemeClr val="accent1"/>
            </a:solidFill>
            <a:ln>
              <a:noFill/>
            </a:ln>
            <a:effectLst/>
          </c:spPr>
          <c:cat>
            <c:strRef>
              <c:f>EXPECTATION!$A$4:$A$7</c:f>
              <c:strCache>
                <c:ptCount val="3"/>
                <c:pt idx="0">
                  <c:v>10%-20%</c:v>
                </c:pt>
                <c:pt idx="1">
                  <c:v>20%-30%</c:v>
                </c:pt>
                <c:pt idx="2">
                  <c:v>30%-40%</c:v>
                </c:pt>
              </c:strCache>
            </c:strRef>
          </c:cat>
          <c:val>
            <c:numRef>
              <c:f>EXPECTATION!$B$4:$B$7</c:f>
              <c:numCache>
                <c:formatCode>General</c:formatCode>
                <c:ptCount val="3"/>
                <c:pt idx="0">
                  <c:v>3</c:v>
                </c:pt>
                <c:pt idx="1">
                  <c:v>32</c:v>
                </c:pt>
                <c:pt idx="2">
                  <c:v>5</c:v>
                </c:pt>
              </c:numCache>
            </c:numRef>
          </c:val>
          <c:extLst>
            <c:ext xmlns:c16="http://schemas.microsoft.com/office/drawing/2014/chart" uri="{C3380CC4-5D6E-409C-BE32-E72D297353CC}">
              <c16:uniqueId val="{00000000-1D59-40F5-8F0D-2DCEE78422B6}"/>
            </c:ext>
          </c:extLst>
        </c:ser>
        <c:dLbls>
          <c:showLegendKey val="0"/>
          <c:showVal val="0"/>
          <c:showCatName val="0"/>
          <c:showSerName val="0"/>
          <c:showPercent val="0"/>
          <c:showBubbleSize val="0"/>
        </c:dLbls>
        <c:axId val="399867376"/>
        <c:axId val="399864976"/>
      </c:areaChart>
      <c:catAx>
        <c:axId val="3998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4976"/>
        <c:crosses val="autoZero"/>
        <c:auto val="1"/>
        <c:lblAlgn val="ctr"/>
        <c:lblOffset val="100"/>
        <c:noMultiLvlLbl val="0"/>
      </c:catAx>
      <c:valAx>
        <c:axId val="39986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7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[COGNIFYZ.xlsx]GENDER_DISTRIBUTION!PivotTable1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40</a:t>
            </a:r>
          </a:p>
        </c:rich>
      </c:tx>
      <c:layout>
        <c:manualLayout>
          <c:xMode val="edge"/>
          <c:yMode val="edge"/>
          <c:x val="0.44151496894022813"/>
          <c:y val="0.395689266124629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24927856990849118"/>
          <c:y val="4.1320466520632287E-2"/>
          <c:w val="0.50128537986805699"/>
          <c:h val="0.89251411994553309"/>
        </c:manualLayout>
      </c:layout>
      <c:doughnutChart>
        <c:varyColors val="1"/>
        <c:ser>
          <c:idx val="0"/>
          <c:order val="0"/>
          <c:tx>
            <c:strRef>
              <c:f>GENDER_DISTRIBUTION!$B$3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8368-48F9-BF4F-151BC863131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8368-48F9-BF4F-151BC86313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GENDER_DISTRIBUTION!$A$4:$A$6</c:f>
              <c:strCache>
                <c:ptCount val="2"/>
                <c:pt idx="0">
                  <c:v>Female</c:v>
                </c:pt>
                <c:pt idx="1">
                  <c:v>Male</c:v>
                </c:pt>
              </c:strCache>
            </c:strRef>
          </c:cat>
          <c:val>
            <c:numRef>
              <c:f>GENDER_DISTRIBUTION!$B$4:$B$6</c:f>
              <c:numCache>
                <c:formatCode>General</c:formatCode>
                <c:ptCount val="2"/>
                <c:pt idx="0">
                  <c:v>15</c:v>
                </c:pt>
                <c:pt idx="1">
                  <c:v>25</c:v>
                </c:pt>
              </c:numCache>
            </c:numRef>
          </c:val>
          <c:extLst>
            <c:ext xmlns:c16="http://schemas.microsoft.com/office/drawing/2014/chart" uri="{C3380CC4-5D6E-409C-BE32-E72D297353CC}">
              <c16:uniqueId val="{00000004-8368-48F9-BF4F-151BC86313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[COGNIFYZ.xlsx]PREFERED_INVESTMENT_AVENUE!PivotTable2</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PREFERED_INVESTMENT_AVENUE!$B$3</c:f>
              <c:strCache>
                <c:ptCount val="1"/>
                <c:pt idx="0">
                  <c:v>Total</c:v>
                </c:pt>
              </c:strCache>
            </c:strRef>
          </c:tx>
          <c:spPr>
            <a:solidFill>
              <a:schemeClr val="accent1"/>
            </a:solidFill>
            <a:ln>
              <a:noFill/>
            </a:ln>
            <a:effectLst/>
            <a:sp3d/>
          </c:spPr>
          <c:invertIfNegative val="0"/>
          <c:cat>
            <c:strRef>
              <c:f>PREFERED_INVESTMENT_AVENUE!$A$4:$A$8</c:f>
              <c:strCache>
                <c:ptCount val="4"/>
                <c:pt idx="0">
                  <c:v>Equity</c:v>
                </c:pt>
                <c:pt idx="1">
                  <c:v>Fixed Deposits</c:v>
                </c:pt>
                <c:pt idx="2">
                  <c:v>Mutual Fund</c:v>
                </c:pt>
                <c:pt idx="3">
                  <c:v>Public Provident Fund</c:v>
                </c:pt>
              </c:strCache>
            </c:strRef>
          </c:cat>
          <c:val>
            <c:numRef>
              <c:f>PREFERED_INVESTMENT_AVENUE!$B$4:$B$8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0-FEA6-4A54-A0B3-387E5842D6C6}"/>
            </c:ext>
          </c:extLst>
        </c:ser>
        <c:dLbls>
          <c:showLegendKey val="0"/>
          <c:showVal val="0"/>
          <c:showCatName val="0"/>
          <c:showSerName val="0"/>
          <c:showPercent val="0"/>
          <c:showBubbleSize val="0"/>
        </c:dLbls>
        <c:gapWidth val="150"/>
        <c:shape val="box"/>
        <c:axId val="1452271152"/>
        <c:axId val="1452272592"/>
        <c:axId val="0"/>
      </c:bar3DChart>
      <c:catAx>
        <c:axId val="145227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2592"/>
        <c:crosses val="autoZero"/>
        <c:auto val="1"/>
        <c:lblAlgn val="ctr"/>
        <c:lblOffset val="100"/>
        <c:noMultiLvlLbl val="0"/>
      </c:catAx>
      <c:valAx>
        <c:axId val="145227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[COGNIFYZ.xlsx]REASONS!PivotTable3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s>
    <c:plotArea>
      <c:layout>
        <c:manualLayout>
          <c:layoutTarget val="inner"/>
          <c:xMode val="edge"/>
          <c:yMode val="edge"/>
          <c:x val="4.6450775072740133E-2"/>
          <c:y val="5.3804176651831563E-2"/>
          <c:w val="0.88204625778771395"/>
          <c:h val="0.91847860321807595"/>
        </c:manualLayout>
      </c:layout>
      <c:pieChart>
        <c:varyColors val="1"/>
        <c:ser>
          <c:idx val="0"/>
          <c:order val="0"/>
          <c:tx>
            <c:strRef>
              <c:f>REASONS!$B$3</c:f>
              <c:strCache>
                <c:ptCount val="1"/>
                <c:pt idx="0">
                  <c:v>Count of Reason_FD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REASONS!$B$4:$B$45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24-FA17-474F-97C7-1AD4A3577BA0}"/>
            </c:ext>
          </c:extLst>
        </c:ser>
        <c:ser>
          <c:idx val="1"/>
          <c:order val="1"/>
          <c:tx>
            <c:strRef>
              <c:f>REASONS!$C$3</c:f>
              <c:strCache>
                <c:ptCount val="1"/>
                <c:pt idx="0">
                  <c:v>Count of Reason_Mutual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6-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8-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A-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C-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E-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0-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2-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4-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6-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8-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A-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C-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E-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0-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2-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4-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6-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8-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REASONS!$C$4:$C$45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49-FA17-474F-97C7-1AD4A3577BA0}"/>
            </c:ext>
          </c:extLst>
        </c:ser>
        <c:ser>
          <c:idx val="2"/>
          <c:order val="2"/>
          <c:tx>
            <c:strRef>
              <c:f>REASONS!$D$3</c:f>
              <c:strCache>
                <c:ptCount val="1"/>
                <c:pt idx="0">
                  <c:v>Count of Reason_Bonds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B-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D-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F-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1-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3-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5-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7-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9-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B-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D-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F-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1-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3-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5-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7-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9-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B-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D-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REASONS!$D$4:$D$45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6E-FA17-474F-97C7-1AD4A3577BA0}"/>
            </c:ext>
          </c:extLst>
        </c:ser>
        <c:ser>
          <c:idx val="3"/>
          <c:order val="3"/>
          <c:tx>
            <c:strRef>
              <c:f>REASONS!$E$3</c:f>
              <c:strCache>
                <c:ptCount val="1"/>
                <c:pt idx="0">
                  <c:v>Count of Reason_Equity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0-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2-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4-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6-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8-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A-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C-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E-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0-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2-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4-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6-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8-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A-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C-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E-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0-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2-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REASONS!$E$4:$E$45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93-FA17-474F-97C7-1AD4A3577BA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[COGNIFYZ.xlsx]SAVINGS OF OBEJECTIVE!PivotTable4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'SAVINGS OF OBEJECTIVE'!$B$3</c:f>
              <c:strCache>
                <c:ptCount val="1"/>
                <c:pt idx="0">
                  <c:v>Total</c:v>
                </c:pt>
              </c:strCache>
            </c:strRef>
          </c:tx>
          <c:spPr>
            <a:solidFill>
              <a:schemeClr val="accent1"/>
            </a:solidFill>
            <a:ln>
              <a:noFill/>
            </a:ln>
            <a:effectLst/>
            <a:sp3d/>
          </c:spPr>
          <c:invertIfNegative val="0"/>
          <c:cat>
            <c:strRef>
              <c:f>'SAVINGS OF OBEJECTIVE'!$A$4:$A$7</c:f>
              <c:strCache>
                <c:ptCount val="3"/>
                <c:pt idx="0">
                  <c:v>Education</c:v>
                </c:pt>
                <c:pt idx="1">
                  <c:v>Health Care</c:v>
                </c:pt>
                <c:pt idx="2">
                  <c:v>Retirement Plan</c:v>
                </c:pt>
              </c:strCache>
            </c:strRef>
          </c:cat>
          <c:val>
            <c:numRef>
              <c:f>'SAVINGS OF OBEJECTIVE'!$B$4:$B$7</c:f>
              <c:numCache>
                <c:formatCode>General</c:formatCode>
                <c:ptCount val="3"/>
                <c:pt idx="0">
                  <c:v>3</c:v>
                </c:pt>
                <c:pt idx="1">
                  <c:v>13</c:v>
                </c:pt>
                <c:pt idx="2">
                  <c:v>24</c:v>
                </c:pt>
              </c:numCache>
            </c:numRef>
          </c:val>
          <c:extLst>
            <c:ext xmlns:c16="http://schemas.microsoft.com/office/drawing/2014/chart" uri="{C3380CC4-5D6E-409C-BE32-E72D297353CC}">
              <c16:uniqueId val="{00000000-0CB4-4F56-81E1-60E60BEF8BE8}"/>
            </c:ext>
          </c:extLst>
        </c:ser>
        <c:dLbls>
          <c:showLegendKey val="0"/>
          <c:showVal val="0"/>
          <c:showCatName val="0"/>
          <c:showSerName val="0"/>
          <c:showPercent val="0"/>
          <c:showBubbleSize val="0"/>
        </c:dLbls>
        <c:gapWidth val="150"/>
        <c:shape val="box"/>
        <c:axId val="401097744"/>
        <c:axId val="401090544"/>
        <c:axId val="1127130432"/>
      </c:bar3DChart>
      <c:catAx>
        <c:axId val="40109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0544"/>
        <c:crosses val="autoZero"/>
        <c:auto val="1"/>
        <c:lblAlgn val="ctr"/>
        <c:lblOffset val="100"/>
        <c:noMultiLvlLbl val="0"/>
      </c:catAx>
      <c:valAx>
        <c:axId val="40109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7744"/>
        <c:crosses val="autoZero"/>
        <c:crossBetween val="between"/>
      </c:valAx>
      <c:serAx>
        <c:axId val="1127130432"/>
        <c:scaling>
          <c:orientation val="minMax"/>
        </c:scaling>
        <c:delete val="1"/>
        <c:axPos val="b"/>
        <c:majorTickMark val="none"/>
        <c:minorTickMark val="none"/>
        <c:tickLblPos val="nextTo"/>
        <c:crossAx val="4010905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[COGNIFYZ.xlsx]DURATION!PivotTable6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02025030246532"/>
          <c:y val="4.450191432492958E-2"/>
          <c:w val="0.51063011959777072"/>
          <c:h val="0.74555948855016962"/>
        </c:manualLayout>
      </c:layout>
      <c:bar3DChart>
        <c:barDir val="bar"/>
        <c:grouping val="stacked"/>
        <c:varyColors val="0"/>
        <c:ser>
          <c:idx val="0"/>
          <c:order val="0"/>
          <c:tx>
            <c:strRef>
              <c:f>DURATION!$B$3</c:f>
              <c:strCache>
                <c:ptCount val="1"/>
                <c:pt idx="0">
                  <c:v>Total</c:v>
                </c:pt>
              </c:strCache>
            </c:strRef>
          </c:tx>
          <c:spPr>
            <a:solidFill>
              <a:schemeClr val="accent1"/>
            </a:solidFill>
            <a:ln>
              <a:noFill/>
            </a:ln>
            <a:effectLst/>
            <a:sp3d/>
          </c:spPr>
          <c:invertIfNegative val="0"/>
          <c:cat>
            <c:strRef>
              <c:f>DURATION!$A$4:$A$8</c:f>
              <c:strCache>
                <c:ptCount val="4"/>
                <c:pt idx="0">
                  <c:v>1-3 years</c:v>
                </c:pt>
                <c:pt idx="1">
                  <c:v>3-5 years</c:v>
                </c:pt>
                <c:pt idx="2">
                  <c:v>Less than 1 year</c:v>
                </c:pt>
                <c:pt idx="3">
                  <c:v>More than 5 years</c:v>
                </c:pt>
              </c:strCache>
            </c:strRef>
          </c:cat>
          <c:val>
            <c:numRef>
              <c:f>DURATION!$B$4:$B$8</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567B-44D8-9A4E-34E52FB4A3CC}"/>
            </c:ext>
          </c:extLst>
        </c:ser>
        <c:dLbls>
          <c:showLegendKey val="0"/>
          <c:showVal val="0"/>
          <c:showCatName val="0"/>
          <c:showSerName val="0"/>
          <c:showPercent val="0"/>
          <c:showBubbleSize val="0"/>
        </c:dLbls>
        <c:gapWidth val="150"/>
        <c:shape val="box"/>
        <c:axId val="392323808"/>
        <c:axId val="392324288"/>
        <c:axId val="0"/>
      </c:bar3DChart>
      <c:catAx>
        <c:axId val="392323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4288"/>
        <c:crosses val="autoZero"/>
        <c:auto val="1"/>
        <c:lblAlgn val="ctr"/>
        <c:lblOffset val="100"/>
        <c:noMultiLvlLbl val="0"/>
      </c:catAx>
      <c:valAx>
        <c:axId val="39232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'Data_set 2 - Copy'!$P$1</c:f>
              <c:strCache>
                <c:ptCount val="1"/>
                <c:pt idx="0">
                  <c:v>Duration Flag</c:v>
                </c:pt>
              </c:strCache>
            </c:strRef>
          </c:tx>
          <c:spPr>
            <a:ln w="22225" cap="rnd">
              <a:solidFill>
                <a:schemeClr val="accent6"/>
              </a:solidFill>
              <a:round/>
            </a:ln>
            <a:effectLst/>
          </c:spPr>
          <c:marker>
            <c:symbol val="none"/>
          </c:marker>
          <c:trendline>
            <c:spPr>
              <a:ln w="9525" cap="rnd">
                <a:solidFill>
                  <a:schemeClr val="accent6"/>
                </a:solidFill>
              </a:ln>
              <a:effectLst/>
            </c:spPr>
            <c:trendlineType val="linear"/>
            <c:dispRSqr val="0"/>
            <c:dispEq val="0"/>
          </c:trendline>
          <c:xVal>
            <c:strRef>
              <c:f>'Data_set 2 - Copy'!$O$2:$O$41</c:f>
              <c:strCache>
                <c:ptCount val="40"/>
                <c:pt idx="0">
                  <c:v>1-3 years</c:v>
                </c:pt>
                <c:pt idx="1">
                  <c:v>More than 5 years</c:v>
                </c:pt>
                <c:pt idx="2">
                  <c:v>3-5 years</c:v>
                </c:pt>
                <c:pt idx="3">
                  <c:v>Less than 1 year</c:v>
                </c:pt>
                <c:pt idx="4">
                  <c:v>Less than 1 year</c:v>
                </c:pt>
                <c:pt idx="5">
                  <c:v>1-3 years</c:v>
                </c:pt>
                <c:pt idx="6">
                  <c:v>3-5 years</c:v>
                </c:pt>
                <c:pt idx="7">
                  <c:v>3-5 years</c:v>
                </c:pt>
                <c:pt idx="8">
                  <c:v>1-3 years</c:v>
                </c:pt>
                <c:pt idx="9">
                  <c:v>3-5 years</c:v>
                </c:pt>
                <c:pt idx="10">
                  <c:v>3-5 years</c:v>
                </c:pt>
                <c:pt idx="11">
                  <c:v>1-3 years</c:v>
                </c:pt>
                <c:pt idx="12">
                  <c:v>1-3 years</c:v>
                </c:pt>
                <c:pt idx="13">
                  <c:v>1-3 years</c:v>
                </c:pt>
                <c:pt idx="14">
                  <c:v>1-3 years</c:v>
                </c:pt>
                <c:pt idx="15">
                  <c:v>1-3 years</c:v>
                </c:pt>
                <c:pt idx="16">
                  <c:v>1-3 years</c:v>
                </c:pt>
                <c:pt idx="17">
                  <c:v>1-3 years</c:v>
                </c:pt>
                <c:pt idx="18">
                  <c:v>1-3 years</c:v>
                </c:pt>
                <c:pt idx="19">
                  <c:v>3-5 years</c:v>
                </c:pt>
                <c:pt idx="20">
                  <c:v>3-5 years</c:v>
                </c:pt>
                <c:pt idx="21">
                  <c:v>3-5 years</c:v>
                </c:pt>
                <c:pt idx="22">
                  <c:v>3-5 years</c:v>
                </c:pt>
                <c:pt idx="23">
                  <c:v>3-5 years</c:v>
                </c:pt>
                <c:pt idx="24">
                  <c:v>3-5 years</c:v>
                </c:pt>
                <c:pt idx="25">
                  <c:v>3-5 years</c:v>
                </c:pt>
                <c:pt idx="26">
                  <c:v>3-5 years</c:v>
                </c:pt>
                <c:pt idx="27">
                  <c:v>1-3 years</c:v>
                </c:pt>
                <c:pt idx="28">
                  <c:v>1-3 years</c:v>
                </c:pt>
                <c:pt idx="29">
                  <c:v>3-5 years</c:v>
                </c:pt>
                <c:pt idx="30">
                  <c:v>1-3 years</c:v>
                </c:pt>
                <c:pt idx="31">
                  <c:v>3-5 years</c:v>
                </c:pt>
                <c:pt idx="32">
                  <c:v>3-5 years</c:v>
                </c:pt>
                <c:pt idx="33">
                  <c:v>1-3 years</c:v>
                </c:pt>
                <c:pt idx="34">
                  <c:v>1-3 years</c:v>
                </c:pt>
                <c:pt idx="35">
                  <c:v>3-5 years</c:v>
                </c:pt>
                <c:pt idx="36">
                  <c:v>1-3 years</c:v>
                </c:pt>
                <c:pt idx="37">
                  <c:v>3-5 years</c:v>
                </c:pt>
                <c:pt idx="38">
                  <c:v>1-3 years</c:v>
                </c:pt>
                <c:pt idx="39">
                  <c:v>3-5 years</c:v>
                </c:pt>
              </c:strCache>
            </c:strRef>
          </c:xVal>
          <c:yVal>
            <c:numRef>
              <c:f>'Data_set 2 - Copy'!$P$2:$P$41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yVal>
          <c:smooth val="0"/>
          <c:extLst>
            <c:ext xmlns:c16="http://schemas.microsoft.com/office/drawing/2014/chart" uri="{C3380CC4-5D6E-409C-BE32-E72D297353CC}">
              <c16:uniqueId val="{00000001-79CF-479C-851E-C1ED367B6D1E}"/>
            </c:ext>
          </c:extLst>
        </c:ser>
        <c:dLbls>
          <c:showLegendKey val="0"/>
          <c:showVal val="0"/>
          <c:showCatName val="0"/>
          <c:showSerName val="0"/>
          <c:showPercent val="0"/>
          <c:showBubbleSize val="0"/>
        </c:dLbls>
        <c:axId val="394765584"/>
        <c:axId val="394769904"/>
      </c:scatterChart>
      <c:valAx>
        <c:axId val="3947655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94769904"/>
        <c:crosses val="autoZero"/>
        <c:crossBetween val="midCat"/>
      </c:valAx>
      <c:valAx>
        <c:axId val="3947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[COGNIFYZ.xlsx]EXPECTATION!PivotTable7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EXPECTATION!$B$3</c:f>
              <c:strCache>
                <c:ptCount val="1"/>
                <c:pt idx="0">
                  <c:v>Total</c:v>
                </c:pt>
              </c:strCache>
            </c:strRef>
          </c:tx>
          <c:spPr>
            <a:solidFill>
              <a:schemeClr val="accent1"/>
            </a:solidFill>
            <a:ln>
              <a:noFill/>
            </a:ln>
            <a:effectLst/>
          </c:spPr>
          <c:cat>
            <c:strRef>
              <c:f>EXPECTATION!$A$4:$A$7</c:f>
              <c:strCache>
                <c:ptCount val="3"/>
                <c:pt idx="0">
                  <c:v>10%-20%</c:v>
                </c:pt>
                <c:pt idx="1">
                  <c:v>20%-30%</c:v>
                </c:pt>
                <c:pt idx="2">
                  <c:v>30%-40%</c:v>
                </c:pt>
              </c:strCache>
            </c:strRef>
          </c:cat>
          <c:val>
            <c:numRef>
              <c:f>EXPECTATION!$B$4:$B$7</c:f>
              <c:numCache>
                <c:formatCode>General</c:formatCode>
                <c:ptCount val="3"/>
                <c:pt idx="0">
                  <c:v>3</c:v>
                </c:pt>
                <c:pt idx="1">
                  <c:v>32</c:v>
                </c:pt>
                <c:pt idx="2">
                  <c:v>5</c:v>
                </c:pt>
              </c:numCache>
            </c:numRef>
          </c:val>
          <c:extLst>
            <c:ext xmlns:c16="http://schemas.microsoft.com/office/drawing/2014/chart" uri="{C3380CC4-5D6E-409C-BE32-E72D297353CC}">
              <c16:uniqueId val="{00000000-7463-417B-A04A-771179400941}"/>
            </c:ext>
          </c:extLst>
        </c:ser>
        <c:dLbls>
          <c:showLegendKey val="0"/>
          <c:showVal val="0"/>
          <c:showCatName val="0"/>
          <c:showSerName val="0"/>
          <c:showPercent val="0"/>
          <c:showBubbleSize val="0"/>
        </c:dLbls>
        <c:axId val="399867376"/>
        <c:axId val="399864976"/>
      </c:areaChart>
      <c:catAx>
        <c:axId val="3998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4976"/>
        <c:crosses val="autoZero"/>
        <c:auto val="1"/>
        <c:lblAlgn val="ctr"/>
        <c:lblOffset val="100"/>
        <c:noMultiLvlLbl val="0"/>
      </c:catAx>
      <c:valAx>
        <c:axId val="39986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3</xdr:col>
      <xdr:colOff>495300</xdr:colOff>
      <xdr:row>1</xdr:row>
      <xdr:rowOff>12701</xdr:rowOff>
    </xdr:from>
    <xdr:to>
      <xdr:col>6</xdr:col>
      <xdr:colOff>495300</xdr:colOff>
      <xdr:row>5</xdr:row>
      <xdr:rowOff>101601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38AA22D-747A-70BC-B076-499B85BCC8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78150" y="196851"/>
              <a:ext cx="1828800" cy="82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114300</xdr:colOff>
      <xdr:row>1</xdr:row>
      <xdr:rowOff>133349</xdr:rowOff>
    </xdr:from>
    <xdr:to>
      <xdr:col>13</xdr:col>
      <xdr:colOff>215900</xdr:colOff>
      <xdr:row>13</xdr:row>
      <xdr:rowOff>34924</xdr:rowOff>
    </xdr:to>
    <xdr:graphicFrame macro="">
      <xdr:nvGraphicFramePr>
        <xdr:cNvPr id="3" name="Chart 2">
          <a:extLst>
            <a:ext uri="{FF2B5EF4-FFF2-40B4-BE49-F238E27FC236}">
              <a16:creationId xmlns:a16="http://schemas.microsoft.com/office/drawing/2014/main" id="{1228696F-F742-AA0A-0A12-5C568C2CD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127000</xdr:colOff>
      <xdr:row>2</xdr:row>
      <xdr:rowOff>130175</xdr:rowOff>
    </xdr:from>
    <xdr:to>
      <xdr:col>14</xdr:col>
      <xdr:colOff>82550</xdr:colOff>
      <xdr:row>17</xdr:row>
      <xdr:rowOff>111125</xdr:rowOff>
    </xdr:to>
    <xdr:graphicFrame macro="">
      <xdr:nvGraphicFramePr>
        <xdr:cNvPr id="3" name="Chart 2">
          <a:extLst>
            <a:ext uri="{FF2B5EF4-FFF2-40B4-BE49-F238E27FC236}">
              <a16:creationId xmlns:a16="http://schemas.microsoft.com/office/drawing/2014/main" id="{B92B1A47-AE0D-9D5A-84A1-9F4DBDBE2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438150</xdr:colOff>
      <xdr:row>3</xdr:row>
      <xdr:rowOff>44451</xdr:rowOff>
    </xdr:from>
    <xdr:to>
      <xdr:col>6</xdr:col>
      <xdr:colOff>438150</xdr:colOff>
      <xdr:row>11</xdr:row>
      <xdr:rowOff>44451</xdr:rowOff>
    </xdr:to>
    <mc:AlternateContent xmlns:mc="http://schemas.openxmlformats.org/markup-compatibility/2006" xmlns:a14="http://schemas.microsoft.com/office/drawing/2010/main">
      <mc:Choice Requires="a14">
        <xdr:graphicFrame macro="">
          <xdr:nvGraphicFramePr>
            <xdr:cNvPr id="4" name="Avenue">
              <a:extLst>
                <a:ext uri="{FF2B5EF4-FFF2-40B4-BE49-F238E27FC236}">
                  <a16:creationId xmlns:a16="http://schemas.microsoft.com/office/drawing/2014/main" id="{EE77988B-A831-4977-A1ED-E1E4A9FD87DD}"/>
                </a:ext>
              </a:extLst>
            </xdr:cNvPr>
            <xdr:cNvGraphicFramePr/>
          </xdr:nvGraphicFramePr>
          <xdr:xfrm>
            <a:off x="0" y="0"/>
            <a:ext cx="0" cy="0"/>
          </xdr:xfrm>
          <a:graphic>
            <a:graphicData uri="http://schemas.microsoft.com/office/drawing/2010/slicer">
              <sle:slicer xmlns:sle="http://schemas.microsoft.com/office/drawing/2010/slicer" name="Avenue"/>
            </a:graphicData>
          </a:graphic>
        </xdr:graphicFrame>
      </mc:Choice>
      <mc:Fallback xmlns="">
        <xdr:sp macro="" textlink="">
          <xdr:nvSpPr>
            <xdr:cNvPr id="0" name=""/>
            <xdr:cNvSpPr>
              <a:spLocks noTextEdit="1"/>
            </xdr:cNvSpPr>
          </xdr:nvSpPr>
          <xdr:spPr>
            <a:xfrm>
              <a:off x="3416300" y="596901"/>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463550</xdr:colOff>
      <xdr:row>3</xdr:row>
      <xdr:rowOff>101601</xdr:rowOff>
    </xdr:from>
    <xdr:to>
      <xdr:col>11</xdr:col>
      <xdr:colOff>463550</xdr:colOff>
      <xdr:row>8</xdr:row>
      <xdr:rowOff>12700</xdr:rowOff>
    </xdr:to>
    <mc:AlternateContent xmlns:mc="http://schemas.openxmlformats.org/markup-compatibility/2006" xmlns:a14="http://schemas.microsoft.com/office/drawing/2010/main">
      <mc:Choice Requires="a14">
        <xdr:graphicFrame macro="">
          <xdr:nvGraphicFramePr>
            <xdr:cNvPr id="2" name="Reason_Equity">
              <a:extLst>
                <a:ext uri="{FF2B5EF4-FFF2-40B4-BE49-F238E27FC236}">
                  <a16:creationId xmlns:a16="http://schemas.microsoft.com/office/drawing/2014/main" id="{E1B601EB-4281-2C98-28AB-B25A1F67C2DE}"/>
                </a:ext>
              </a:extLst>
            </xdr:cNvPr>
            <xdr:cNvGraphicFramePr/>
          </xdr:nvGraphicFramePr>
          <xdr:xfrm>
            <a:off x="0" y="0"/>
            <a:ext cx="0" cy="0"/>
          </xdr:xfrm>
          <a:graphic>
            <a:graphicData uri="http://schemas.microsoft.com/office/drawing/2010/slicer">
              <sle:slicer xmlns:sle="http://schemas.microsoft.com/office/drawing/2010/slicer" name="Reason_Equity"/>
            </a:graphicData>
          </a:graphic>
        </xdr:graphicFrame>
      </mc:Choice>
      <mc:Fallback xmlns="">
        <xdr:sp macro="" textlink="">
          <xdr:nvSpPr>
            <xdr:cNvPr id="0" name=""/>
            <xdr:cNvSpPr>
              <a:spLocks noTextEdit="1"/>
            </xdr:cNvSpPr>
          </xdr:nvSpPr>
          <xdr:spPr>
            <a:xfrm>
              <a:off x="9836150" y="654051"/>
              <a:ext cx="1828800" cy="831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355600</xdr:colOff>
      <xdr:row>3</xdr:row>
      <xdr:rowOff>63501</xdr:rowOff>
    </xdr:from>
    <xdr:to>
      <xdr:col>8</xdr:col>
      <xdr:colOff>355600</xdr:colOff>
      <xdr:row>9</xdr:row>
      <xdr:rowOff>69851</xdr:rowOff>
    </xdr:to>
    <mc:AlternateContent xmlns:mc="http://schemas.openxmlformats.org/markup-compatibility/2006" xmlns:a14="http://schemas.microsoft.com/office/drawing/2010/main">
      <mc:Choice Requires="a14">
        <xdr:graphicFrame macro="">
          <xdr:nvGraphicFramePr>
            <xdr:cNvPr id="3" name="Reason_Mutual">
              <a:extLst>
                <a:ext uri="{FF2B5EF4-FFF2-40B4-BE49-F238E27FC236}">
                  <a16:creationId xmlns:a16="http://schemas.microsoft.com/office/drawing/2014/main" id="{A083572E-FC18-29B8-D5BC-978FB3CA6C0D}"/>
                </a:ext>
              </a:extLst>
            </xdr:cNvPr>
            <xdr:cNvGraphicFramePr/>
          </xdr:nvGraphicFramePr>
          <xdr:xfrm>
            <a:off x="0" y="0"/>
            <a:ext cx="0" cy="0"/>
          </xdr:xfrm>
          <a:graphic>
            <a:graphicData uri="http://schemas.microsoft.com/office/drawing/2010/slicer">
              <sle:slicer xmlns:sle="http://schemas.microsoft.com/office/drawing/2010/slicer" name="Reason_Mutual"/>
            </a:graphicData>
          </a:graphic>
        </xdr:graphicFrame>
      </mc:Choice>
      <mc:Fallback xmlns="">
        <xdr:sp macro="" textlink="">
          <xdr:nvSpPr>
            <xdr:cNvPr id="0" name=""/>
            <xdr:cNvSpPr>
              <a:spLocks noTextEdit="1"/>
            </xdr:cNvSpPr>
          </xdr:nvSpPr>
          <xdr:spPr>
            <a:xfrm>
              <a:off x="7899400" y="615951"/>
              <a:ext cx="1828800" cy="111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10</xdr:row>
      <xdr:rowOff>31751</xdr:rowOff>
    </xdr:from>
    <xdr:to>
      <xdr:col>8</xdr:col>
      <xdr:colOff>381000</xdr:colOff>
      <xdr:row>16</xdr:row>
      <xdr:rowOff>82551</xdr:rowOff>
    </xdr:to>
    <mc:AlternateContent xmlns:mc="http://schemas.openxmlformats.org/markup-compatibility/2006" xmlns:a14="http://schemas.microsoft.com/office/drawing/2010/main">
      <mc:Choice Requires="a14">
        <xdr:graphicFrame macro="">
          <xdr:nvGraphicFramePr>
            <xdr:cNvPr id="4" name="Reason_Bonds">
              <a:extLst>
                <a:ext uri="{FF2B5EF4-FFF2-40B4-BE49-F238E27FC236}">
                  <a16:creationId xmlns:a16="http://schemas.microsoft.com/office/drawing/2014/main" id="{A09220D8-ABF8-4FC5-5A76-099C777081B1}"/>
                </a:ext>
              </a:extLst>
            </xdr:cNvPr>
            <xdr:cNvGraphicFramePr/>
          </xdr:nvGraphicFramePr>
          <xdr:xfrm>
            <a:off x="0" y="0"/>
            <a:ext cx="0" cy="0"/>
          </xdr:xfrm>
          <a:graphic>
            <a:graphicData uri="http://schemas.microsoft.com/office/drawing/2010/slicer">
              <sle:slicer xmlns:sle="http://schemas.microsoft.com/office/drawing/2010/slicer" name="Reason_Bonds"/>
            </a:graphicData>
          </a:graphic>
        </xdr:graphicFrame>
      </mc:Choice>
      <mc:Fallback xmlns="">
        <xdr:sp macro="" textlink="">
          <xdr:nvSpPr>
            <xdr:cNvPr id="0" name=""/>
            <xdr:cNvSpPr>
              <a:spLocks noTextEdit="1"/>
            </xdr:cNvSpPr>
          </xdr:nvSpPr>
          <xdr:spPr>
            <a:xfrm>
              <a:off x="7924800" y="1873251"/>
              <a:ext cx="18288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387350</xdr:colOff>
      <xdr:row>17</xdr:row>
      <xdr:rowOff>95251</xdr:rowOff>
    </xdr:from>
    <xdr:to>
      <xdr:col>8</xdr:col>
      <xdr:colOff>387350</xdr:colOff>
      <xdr:row>23</xdr:row>
      <xdr:rowOff>107951</xdr:rowOff>
    </xdr:to>
    <mc:AlternateContent xmlns:mc="http://schemas.openxmlformats.org/markup-compatibility/2006" xmlns:a14="http://schemas.microsoft.com/office/drawing/2010/main">
      <mc:Choice Requires="a14">
        <xdr:graphicFrame macro="">
          <xdr:nvGraphicFramePr>
            <xdr:cNvPr id="5" name="Reason_FD">
              <a:extLst>
                <a:ext uri="{FF2B5EF4-FFF2-40B4-BE49-F238E27FC236}">
                  <a16:creationId xmlns:a16="http://schemas.microsoft.com/office/drawing/2014/main" id="{A6A49C4D-83E4-5A8A-3E31-9776E3B896AB}"/>
                </a:ext>
              </a:extLst>
            </xdr:cNvPr>
            <xdr:cNvGraphicFramePr/>
          </xdr:nvGraphicFramePr>
          <xdr:xfrm>
            <a:off x="0" y="0"/>
            <a:ext cx="0" cy="0"/>
          </xdr:xfrm>
          <a:graphic>
            <a:graphicData uri="http://schemas.microsoft.com/office/drawing/2010/slicer">
              <sle:slicer xmlns:sle="http://schemas.microsoft.com/office/drawing/2010/slicer" name="Reason_FD"/>
            </a:graphicData>
          </a:graphic>
        </xdr:graphicFrame>
      </mc:Choice>
      <mc:Fallback xmlns="">
        <xdr:sp macro="" textlink="">
          <xdr:nvSpPr>
            <xdr:cNvPr id="0" name=""/>
            <xdr:cNvSpPr>
              <a:spLocks noTextEdit="1"/>
            </xdr:cNvSpPr>
          </xdr:nvSpPr>
          <xdr:spPr>
            <a:xfrm>
              <a:off x="7931150" y="3225801"/>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215900</xdr:colOff>
      <xdr:row>9</xdr:row>
      <xdr:rowOff>34925</xdr:rowOff>
    </xdr:from>
    <xdr:to>
      <xdr:col>16</xdr:col>
      <xdr:colOff>520700</xdr:colOff>
      <xdr:row>24</xdr:row>
      <xdr:rowOff>15875</xdr:rowOff>
    </xdr:to>
    <xdr:graphicFrame macro="">
      <xdr:nvGraphicFramePr>
        <xdr:cNvPr id="6" name="Chart 5">
          <a:extLst>
            <a:ext uri="{FF2B5EF4-FFF2-40B4-BE49-F238E27FC236}">
              <a16:creationId xmlns:a16="http://schemas.microsoft.com/office/drawing/2014/main" id="{AD5E4856-38DC-EF1D-C96D-3756CCC3F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127000</xdr:colOff>
      <xdr:row>2</xdr:row>
      <xdr:rowOff>12701</xdr:rowOff>
    </xdr:from>
    <xdr:to>
      <xdr:col>6</xdr:col>
      <xdr:colOff>127000</xdr:colOff>
      <xdr:row>7</xdr:row>
      <xdr:rowOff>177801</xdr:rowOff>
    </xdr:to>
    <mc:AlternateContent xmlns:mc="http://schemas.openxmlformats.org/markup-compatibility/2006" xmlns:a14="http://schemas.microsoft.com/office/drawing/2010/main">
      <mc:Choice Requires="a14">
        <xdr:graphicFrame macro="">
          <xdr:nvGraphicFramePr>
            <xdr:cNvPr id="2" name="What are your savings objectives?">
              <a:extLst>
                <a:ext uri="{FF2B5EF4-FFF2-40B4-BE49-F238E27FC236}">
                  <a16:creationId xmlns:a16="http://schemas.microsoft.com/office/drawing/2014/main" id="{3AD6BC83-4794-E261-7C40-D8FD7FE2D0FE}"/>
                </a:ext>
              </a:extLst>
            </xdr:cNvPr>
            <xdr:cNvGraphicFramePr/>
          </xdr:nvGraphicFramePr>
          <xdr:xfrm>
            <a:off x="0" y="0"/>
            <a:ext cx="0" cy="0"/>
          </xdr:xfrm>
          <a:graphic>
            <a:graphicData uri="http://schemas.microsoft.com/office/drawing/2010/slicer">
              <sle:slicer xmlns:sle="http://schemas.microsoft.com/office/drawing/2010/slicer" name="What are your savings objectives?"/>
            </a:graphicData>
          </a:graphic>
        </xdr:graphicFrame>
      </mc:Choice>
      <mc:Fallback xmlns="">
        <xdr:sp macro="" textlink="">
          <xdr:nvSpPr>
            <xdr:cNvPr id="0" name=""/>
            <xdr:cNvSpPr>
              <a:spLocks noTextEdit="1"/>
            </xdr:cNvSpPr>
          </xdr:nvSpPr>
          <xdr:spPr>
            <a:xfrm>
              <a:off x="4349750" y="38100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8</xdr:row>
      <xdr:rowOff>41275</xdr:rowOff>
    </xdr:from>
    <xdr:to>
      <xdr:col>3</xdr:col>
      <xdr:colOff>508000</xdr:colOff>
      <xdr:row>23</xdr:row>
      <xdr:rowOff>22225</xdr:rowOff>
    </xdr:to>
    <xdr:graphicFrame macro="">
      <xdr:nvGraphicFramePr>
        <xdr:cNvPr id="3" name="Chart 2">
          <a:extLst>
            <a:ext uri="{FF2B5EF4-FFF2-40B4-BE49-F238E27FC236}">
              <a16:creationId xmlns:a16="http://schemas.microsoft.com/office/drawing/2014/main" id="{3F2DCD42-433B-8231-3FDE-CFA3D9E9D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577850</xdr:colOff>
      <xdr:row>0</xdr:row>
      <xdr:rowOff>177801</xdr:rowOff>
    </xdr:from>
    <xdr:to>
      <xdr:col>5</xdr:col>
      <xdr:colOff>577850</xdr:colOff>
      <xdr:row>8</xdr:row>
      <xdr:rowOff>101601</xdr:rowOff>
    </xdr:to>
    <mc:AlternateContent xmlns:mc="http://schemas.openxmlformats.org/markup-compatibility/2006" xmlns:a14="http://schemas.microsoft.com/office/drawing/2010/main">
      <mc:Choice Requires="a14">
        <xdr:graphicFrame macro="">
          <xdr:nvGraphicFramePr>
            <xdr:cNvPr id="2" name="Source">
              <a:extLst>
                <a:ext uri="{FF2B5EF4-FFF2-40B4-BE49-F238E27FC236}">
                  <a16:creationId xmlns:a16="http://schemas.microsoft.com/office/drawing/2014/main" id="{61BFB900-45A4-978E-EBA0-546A7543E403}"/>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3270250" y="177801"/>
              <a:ext cx="18288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736600</xdr:colOff>
      <xdr:row>9</xdr:row>
      <xdr:rowOff>28575</xdr:rowOff>
    </xdr:from>
    <xdr:to>
      <xdr:col>6</xdr:col>
      <xdr:colOff>177800</xdr:colOff>
      <xdr:row>24</xdr:row>
      <xdr:rowOff>9525</xdr:rowOff>
    </xdr:to>
    <xdr:graphicFrame macro="">
      <xdr:nvGraphicFramePr>
        <xdr:cNvPr id="3" name="Chart 2">
          <a:extLst>
            <a:ext uri="{FF2B5EF4-FFF2-40B4-BE49-F238E27FC236}">
              <a16:creationId xmlns:a16="http://schemas.microsoft.com/office/drawing/2014/main" id="{2AFBC92F-8E80-029E-D4E2-53BDCCB32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69850</xdr:colOff>
      <xdr:row>1</xdr:row>
      <xdr:rowOff>63501</xdr:rowOff>
    </xdr:from>
    <xdr:to>
      <xdr:col>6</xdr:col>
      <xdr:colOff>69850</xdr:colOff>
      <xdr:row>8</xdr:row>
      <xdr:rowOff>146051</xdr:rowOff>
    </xdr:to>
    <mc:AlternateContent xmlns:mc="http://schemas.openxmlformats.org/markup-compatibility/2006" xmlns:a14="http://schemas.microsoft.com/office/drawing/2010/main">
      <mc:Choice Requires="a14">
        <xdr:graphicFrame macro="">
          <xdr:nvGraphicFramePr>
            <xdr:cNvPr id="2" name="Duration">
              <a:extLst>
                <a:ext uri="{FF2B5EF4-FFF2-40B4-BE49-F238E27FC236}">
                  <a16:creationId xmlns:a16="http://schemas.microsoft.com/office/drawing/2014/main" id="{5E62CF33-291C-AC43-9AA7-6D069502EF99}"/>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mlns="">
        <xdr:sp macro="" textlink="">
          <xdr:nvSpPr>
            <xdr:cNvPr id="0" name=""/>
            <xdr:cNvSpPr>
              <a:spLocks noTextEdit="1"/>
            </xdr:cNvSpPr>
          </xdr:nvSpPr>
          <xdr:spPr>
            <a:xfrm>
              <a:off x="2927350" y="24765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368300</xdr:colOff>
      <xdr:row>1</xdr:row>
      <xdr:rowOff>3175</xdr:rowOff>
    </xdr:from>
    <xdr:to>
      <xdr:col>14</xdr:col>
      <xdr:colOff>63500</xdr:colOff>
      <xdr:row>15</xdr:row>
      <xdr:rowOff>168275</xdr:rowOff>
    </xdr:to>
    <xdr:graphicFrame macro="">
      <xdr:nvGraphicFramePr>
        <xdr:cNvPr id="3" name="Chart 2">
          <a:extLst>
            <a:ext uri="{FF2B5EF4-FFF2-40B4-BE49-F238E27FC236}">
              <a16:creationId xmlns:a16="http://schemas.microsoft.com/office/drawing/2014/main" id="{D806E7FD-B14E-5A4F-DAF1-91022E691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11</xdr:row>
      <xdr:rowOff>0</xdr:rowOff>
    </xdr:from>
    <xdr:to>
      <xdr:col>6</xdr:col>
      <xdr:colOff>330200</xdr:colOff>
      <xdr:row>25</xdr:row>
      <xdr:rowOff>165100</xdr:rowOff>
    </xdr:to>
    <xdr:graphicFrame macro="">
      <xdr:nvGraphicFramePr>
        <xdr:cNvPr id="4" name="Chart 3">
          <a:extLst>
            <a:ext uri="{FF2B5EF4-FFF2-40B4-BE49-F238E27FC236}">
              <a16:creationId xmlns:a16="http://schemas.microsoft.com/office/drawing/2014/main" id="{E5D2F83F-4AD2-4C82-8ECF-1603DC5A3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349250</xdr:colOff>
      <xdr:row>1</xdr:row>
      <xdr:rowOff>25401</xdr:rowOff>
    </xdr:from>
    <xdr:to>
      <xdr:col>5</xdr:col>
      <xdr:colOff>349250</xdr:colOff>
      <xdr:row>7</xdr:row>
      <xdr:rowOff>44451</xdr:rowOff>
    </xdr:to>
    <mc:AlternateContent xmlns:mc="http://schemas.openxmlformats.org/markup-compatibility/2006" xmlns:a14="http://schemas.microsoft.com/office/drawing/2010/main">
      <mc:Choice Requires="a14">
        <xdr:graphicFrame macro="">
          <xdr:nvGraphicFramePr>
            <xdr:cNvPr id="2" name="Expect">
              <a:extLst>
                <a:ext uri="{FF2B5EF4-FFF2-40B4-BE49-F238E27FC236}">
                  <a16:creationId xmlns:a16="http://schemas.microsoft.com/office/drawing/2014/main" id="{9E52C623-10E5-5714-DCC0-5D94784AE311}"/>
                </a:ext>
              </a:extLst>
            </xdr:cNvPr>
            <xdr:cNvGraphicFramePr/>
          </xdr:nvGraphicFramePr>
          <xdr:xfrm>
            <a:off x="0" y="0"/>
            <a:ext cx="0" cy="0"/>
          </xdr:xfrm>
          <a:graphic>
            <a:graphicData uri="http://schemas.microsoft.com/office/drawing/2010/slicer">
              <sle:slicer xmlns:sle="http://schemas.microsoft.com/office/drawing/2010/slicer" name="Expect"/>
            </a:graphicData>
          </a:graphic>
        </xdr:graphicFrame>
      </mc:Choice>
      <mc:Fallback xmlns="">
        <xdr:sp macro="" textlink="">
          <xdr:nvSpPr>
            <xdr:cNvPr id="0" name=""/>
            <xdr:cNvSpPr>
              <a:spLocks noTextEdit="1"/>
            </xdr:cNvSpPr>
          </xdr:nvSpPr>
          <xdr:spPr>
            <a:xfrm>
              <a:off x="2203450" y="209551"/>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508000</xdr:colOff>
      <xdr:row>1</xdr:row>
      <xdr:rowOff>3175</xdr:rowOff>
    </xdr:from>
    <xdr:to>
      <xdr:col>13</xdr:col>
      <xdr:colOff>203200</xdr:colOff>
      <xdr:row>15</xdr:row>
      <xdr:rowOff>168275</xdr:rowOff>
    </xdr:to>
    <xdr:graphicFrame macro="">
      <xdr:nvGraphicFramePr>
        <xdr:cNvPr id="3" name="Chart 2">
          <a:extLst>
            <a:ext uri="{FF2B5EF4-FFF2-40B4-BE49-F238E27FC236}">
              <a16:creationId xmlns:a16="http://schemas.microsoft.com/office/drawing/2014/main" id="{DE9900AA-9368-B1A7-ABE6-6E42E1FEB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2</xdr:row>
      <xdr:rowOff>31750</xdr:rowOff>
    </xdr:from>
    <xdr:to>
      <xdr:col>2</xdr:col>
      <xdr:colOff>596900</xdr:colOff>
      <xdr:row>7</xdr:row>
      <xdr:rowOff>260350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154E5109-0A41-4925-9106-5B90959024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050" y="692150"/>
              <a:ext cx="179705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603250</xdr:colOff>
      <xdr:row>2</xdr:row>
      <xdr:rowOff>44451</xdr:rowOff>
    </xdr:from>
    <xdr:to>
      <xdr:col>6</xdr:col>
      <xdr:colOff>577850</xdr:colOff>
      <xdr:row>7</xdr:row>
      <xdr:rowOff>273050</xdr:rowOff>
    </xdr:to>
    <xdr:graphicFrame macro="">
      <xdr:nvGraphicFramePr>
        <xdr:cNvPr id="3" name="Chart 2">
          <a:extLst>
            <a:ext uri="{FF2B5EF4-FFF2-40B4-BE49-F238E27FC236}">
              <a16:creationId xmlns:a16="http://schemas.microsoft.com/office/drawing/2014/main" id="{B2301F80-D66A-4AEE-8527-65903F524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19050</xdr:rowOff>
    </xdr:from>
    <xdr:to>
      <xdr:col>3</xdr:col>
      <xdr:colOff>0</xdr:colOff>
      <xdr:row>16</xdr:row>
      <xdr:rowOff>158750</xdr:rowOff>
    </xdr:to>
    <mc:AlternateContent xmlns:mc="http://schemas.openxmlformats.org/markup-compatibility/2006" xmlns:a14="http://schemas.microsoft.com/office/drawing/2010/main">
      <mc:Choice Requires="a14">
        <xdr:graphicFrame macro="">
          <xdr:nvGraphicFramePr>
            <xdr:cNvPr id="4" name="Avenue 1">
              <a:extLst>
                <a:ext uri="{FF2B5EF4-FFF2-40B4-BE49-F238E27FC236}">
                  <a16:creationId xmlns:a16="http://schemas.microsoft.com/office/drawing/2014/main" id="{0D555557-9AE0-4105-AA7B-09DEE854CAAC}"/>
                </a:ext>
              </a:extLst>
            </xdr:cNvPr>
            <xdr:cNvGraphicFramePr/>
          </xdr:nvGraphicFramePr>
          <xdr:xfrm>
            <a:off x="0" y="0"/>
            <a:ext cx="0" cy="0"/>
          </xdr:xfrm>
          <a:graphic>
            <a:graphicData uri="http://schemas.microsoft.com/office/drawing/2010/slicer">
              <sle:slicer xmlns:sle="http://schemas.microsoft.com/office/drawing/2010/slicer" name="Avenue 1"/>
            </a:graphicData>
          </a:graphic>
        </xdr:graphicFrame>
      </mc:Choice>
      <mc:Fallback xmlns="">
        <xdr:sp macro="" textlink="">
          <xdr:nvSpPr>
            <xdr:cNvPr id="0" name=""/>
            <xdr:cNvSpPr>
              <a:spLocks noTextEdit="1"/>
            </xdr:cNvSpPr>
          </xdr:nvSpPr>
          <xdr:spPr>
            <a:xfrm>
              <a:off x="0" y="2197100"/>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9</xdr:row>
      <xdr:rowOff>19050</xdr:rowOff>
    </xdr:from>
    <xdr:to>
      <xdr:col>6</xdr:col>
      <xdr:colOff>584200</xdr:colOff>
      <xdr:row>16</xdr:row>
      <xdr:rowOff>146050</xdr:rowOff>
    </xdr:to>
    <xdr:graphicFrame macro="">
      <xdr:nvGraphicFramePr>
        <xdr:cNvPr id="5" name="Chart 4">
          <a:extLst>
            <a:ext uri="{FF2B5EF4-FFF2-40B4-BE49-F238E27FC236}">
              <a16:creationId xmlns:a16="http://schemas.microsoft.com/office/drawing/2014/main" id="{380BBC70-9D04-4931-B75A-4428BC48D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xdr:row>
      <xdr:rowOff>0</xdr:rowOff>
    </xdr:from>
    <xdr:to>
      <xdr:col>10</xdr:col>
      <xdr:colOff>0</xdr:colOff>
      <xdr:row>6</xdr:row>
      <xdr:rowOff>114300</xdr:rowOff>
    </xdr:to>
    <mc:AlternateContent xmlns:mc="http://schemas.openxmlformats.org/markup-compatibility/2006" xmlns:a14="http://schemas.microsoft.com/office/drawing/2010/main">
      <mc:Choice Requires="a14">
        <xdr:graphicFrame macro="">
          <xdr:nvGraphicFramePr>
            <xdr:cNvPr id="6" name="Reason_Mutual 1">
              <a:extLst>
                <a:ext uri="{FF2B5EF4-FFF2-40B4-BE49-F238E27FC236}">
                  <a16:creationId xmlns:a16="http://schemas.microsoft.com/office/drawing/2014/main" id="{81ED11B0-7AF3-4B59-A196-A1EC6BCAE743}"/>
                </a:ext>
              </a:extLst>
            </xdr:cNvPr>
            <xdr:cNvGraphicFramePr/>
          </xdr:nvGraphicFramePr>
          <xdr:xfrm>
            <a:off x="0" y="0"/>
            <a:ext cx="0" cy="0"/>
          </xdr:xfrm>
          <a:graphic>
            <a:graphicData uri="http://schemas.microsoft.com/office/drawing/2010/slicer">
              <sle:slicer xmlns:sle="http://schemas.microsoft.com/office/drawing/2010/slicer" name="Reason_Mutual 1"/>
            </a:graphicData>
          </a:graphic>
        </xdr:graphicFrame>
      </mc:Choice>
      <mc:Fallback xmlns="">
        <xdr:sp macro="" textlink="">
          <xdr:nvSpPr>
            <xdr:cNvPr id="0" name=""/>
            <xdr:cNvSpPr>
              <a:spLocks noTextEdit="1"/>
            </xdr:cNvSpPr>
          </xdr:nvSpPr>
          <xdr:spPr>
            <a:xfrm>
              <a:off x="4267200" y="660400"/>
              <a:ext cx="1828800" cy="85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6</xdr:row>
      <xdr:rowOff>120650</xdr:rowOff>
    </xdr:from>
    <xdr:to>
      <xdr:col>10</xdr:col>
      <xdr:colOff>0</xdr:colOff>
      <xdr:row>9</xdr:row>
      <xdr:rowOff>158750</xdr:rowOff>
    </xdr:to>
    <mc:AlternateContent xmlns:mc="http://schemas.openxmlformats.org/markup-compatibility/2006" xmlns:a14="http://schemas.microsoft.com/office/drawing/2010/main">
      <mc:Choice Requires="a14">
        <xdr:graphicFrame macro="">
          <xdr:nvGraphicFramePr>
            <xdr:cNvPr id="7" name="Reason_Bonds 1">
              <a:extLst>
                <a:ext uri="{FF2B5EF4-FFF2-40B4-BE49-F238E27FC236}">
                  <a16:creationId xmlns:a16="http://schemas.microsoft.com/office/drawing/2014/main" id="{3DB9CA1C-16F6-450C-90A0-E97AF7ADBFAC}"/>
                </a:ext>
              </a:extLst>
            </xdr:cNvPr>
            <xdr:cNvGraphicFramePr/>
          </xdr:nvGraphicFramePr>
          <xdr:xfrm>
            <a:off x="0" y="0"/>
            <a:ext cx="0" cy="0"/>
          </xdr:xfrm>
          <a:graphic>
            <a:graphicData uri="http://schemas.microsoft.com/office/drawing/2010/slicer">
              <sle:slicer xmlns:sle="http://schemas.microsoft.com/office/drawing/2010/slicer" name="Reason_Bonds 1"/>
            </a:graphicData>
          </a:graphic>
        </xdr:graphicFrame>
      </mc:Choice>
      <mc:Fallback xmlns="">
        <xdr:sp macro="" textlink="">
          <xdr:nvSpPr>
            <xdr:cNvPr id="0" name=""/>
            <xdr:cNvSpPr>
              <a:spLocks noTextEdit="1"/>
            </xdr:cNvSpPr>
          </xdr:nvSpPr>
          <xdr:spPr>
            <a:xfrm>
              <a:off x="4267200" y="1517650"/>
              <a:ext cx="1828800"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584200</xdr:colOff>
      <xdr:row>9</xdr:row>
      <xdr:rowOff>171450</xdr:rowOff>
    </xdr:from>
    <xdr:to>
      <xdr:col>9</xdr:col>
      <xdr:colOff>603250</xdr:colOff>
      <xdr:row>13</xdr:row>
      <xdr:rowOff>133350</xdr:rowOff>
    </xdr:to>
    <mc:AlternateContent xmlns:mc="http://schemas.openxmlformats.org/markup-compatibility/2006" xmlns:a14="http://schemas.microsoft.com/office/drawing/2010/main">
      <mc:Choice Requires="a14">
        <xdr:graphicFrame macro="">
          <xdr:nvGraphicFramePr>
            <xdr:cNvPr id="8" name="Reason_FD 1">
              <a:extLst>
                <a:ext uri="{FF2B5EF4-FFF2-40B4-BE49-F238E27FC236}">
                  <a16:creationId xmlns:a16="http://schemas.microsoft.com/office/drawing/2014/main" id="{2528D120-FFA0-449D-832F-B74BE4C78EB7}"/>
                </a:ext>
              </a:extLst>
            </xdr:cNvPr>
            <xdr:cNvGraphicFramePr/>
          </xdr:nvGraphicFramePr>
          <xdr:xfrm>
            <a:off x="0" y="0"/>
            <a:ext cx="0" cy="0"/>
          </xdr:xfrm>
          <a:graphic>
            <a:graphicData uri="http://schemas.microsoft.com/office/drawing/2010/slicer">
              <sle:slicer xmlns:sle="http://schemas.microsoft.com/office/drawing/2010/slicer" name="Reason_FD 1"/>
            </a:graphicData>
          </a:graphic>
        </xdr:graphicFrame>
      </mc:Choice>
      <mc:Fallback xmlns="">
        <xdr:sp macro="" textlink="">
          <xdr:nvSpPr>
            <xdr:cNvPr id="0" name=""/>
            <xdr:cNvSpPr>
              <a:spLocks noTextEdit="1"/>
            </xdr:cNvSpPr>
          </xdr:nvSpPr>
          <xdr:spPr>
            <a:xfrm>
              <a:off x="4241800" y="2349500"/>
              <a:ext cx="1847850"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596900</xdr:colOff>
      <xdr:row>13</xdr:row>
      <xdr:rowOff>120651</xdr:rowOff>
    </xdr:from>
    <xdr:to>
      <xdr:col>9</xdr:col>
      <xdr:colOff>596900</xdr:colOff>
      <xdr:row>16</xdr:row>
      <xdr:rowOff>146051</xdr:rowOff>
    </xdr:to>
    <mc:AlternateContent xmlns:mc="http://schemas.openxmlformats.org/markup-compatibility/2006" xmlns:a14="http://schemas.microsoft.com/office/drawing/2010/main">
      <mc:Choice Requires="a14">
        <xdr:graphicFrame macro="">
          <xdr:nvGraphicFramePr>
            <xdr:cNvPr id="9" name="Reason_Equity 1">
              <a:extLst>
                <a:ext uri="{FF2B5EF4-FFF2-40B4-BE49-F238E27FC236}">
                  <a16:creationId xmlns:a16="http://schemas.microsoft.com/office/drawing/2014/main" id="{9EC4F850-F6F0-4B4A-85E8-9942F354C582}"/>
                </a:ext>
              </a:extLst>
            </xdr:cNvPr>
            <xdr:cNvGraphicFramePr/>
          </xdr:nvGraphicFramePr>
          <xdr:xfrm>
            <a:off x="0" y="0"/>
            <a:ext cx="0" cy="0"/>
          </xdr:xfrm>
          <a:graphic>
            <a:graphicData uri="http://schemas.microsoft.com/office/drawing/2010/slicer">
              <sle:slicer xmlns:sle="http://schemas.microsoft.com/office/drawing/2010/slicer" name="Reason_Equity 1"/>
            </a:graphicData>
          </a:graphic>
        </xdr:graphicFrame>
      </mc:Choice>
      <mc:Fallback xmlns="">
        <xdr:sp macro="" textlink="">
          <xdr:nvSpPr>
            <xdr:cNvPr id="0" name=""/>
            <xdr:cNvSpPr>
              <a:spLocks noTextEdit="1"/>
            </xdr:cNvSpPr>
          </xdr:nvSpPr>
          <xdr:spPr>
            <a:xfrm>
              <a:off x="4254500" y="3035301"/>
              <a:ext cx="1828800" cy="57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12700</xdr:colOff>
      <xdr:row>2</xdr:row>
      <xdr:rowOff>19050</xdr:rowOff>
    </xdr:from>
    <xdr:to>
      <xdr:col>15</xdr:col>
      <xdr:colOff>6350</xdr:colOff>
      <xdr:row>16</xdr:row>
      <xdr:rowOff>139700</xdr:rowOff>
    </xdr:to>
    <xdr:graphicFrame macro="">
      <xdr:nvGraphicFramePr>
        <xdr:cNvPr id="10" name="Chart 9">
          <a:extLst>
            <a:ext uri="{FF2B5EF4-FFF2-40B4-BE49-F238E27FC236}">
              <a16:creationId xmlns:a16="http://schemas.microsoft.com/office/drawing/2014/main" id="{E180CDE6-FCF9-4459-ACFD-1DB212FA4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15</xdr:col>
      <xdr:colOff>25400</xdr:colOff>
      <xdr:row>1</xdr:row>
      <xdr:rowOff>12701</xdr:rowOff>
    </xdr:from>
    <xdr:ext cx="2419350" cy="279400"/>
    <xdr:sp macro="" textlink="">
      <xdr:nvSpPr>
        <xdr:cNvPr id="12" name="Rectangle 11">
          <a:extLst>
            <a:ext uri="{FF2B5EF4-FFF2-40B4-BE49-F238E27FC236}">
              <a16:creationId xmlns:a16="http://schemas.microsoft.com/office/drawing/2014/main" id="{485B02ED-1928-E17F-C754-F62E508006DA}"/>
            </a:ext>
          </a:extLst>
        </xdr:cNvPr>
        <xdr:cNvSpPr/>
      </xdr:nvSpPr>
      <xdr:spPr>
        <a:xfrm>
          <a:off x="9169400" y="374651"/>
          <a:ext cx="2419350" cy="279400"/>
        </a:xfrm>
        <a:prstGeom prst="rect">
          <a:avLst/>
        </a:prstGeom>
        <a:solidFill>
          <a:srgbClr val="002060"/>
        </a:solidFill>
        <a:ln>
          <a:solidFill>
            <a:schemeClr val="accent6"/>
          </a:solidFill>
        </a:ln>
      </xdr:spPr>
      <xdr:txBody>
        <a:bodyPr wrap="square" lIns="91440" tIns="45720" rIns="91440" bIns="45720">
          <a:noAutofit/>
        </a:bodyPr>
        <a:lstStyle/>
        <a:p>
          <a:pPr algn="ctr"/>
          <a:r>
            <a:rPr lang="en-US" sz="1600" b="1" cap="none" spc="50">
              <a:ln w="0"/>
              <a:solidFill>
                <a:schemeClr val="bg2"/>
              </a:solidFill>
              <a:effectLst>
                <a:innerShdw blurRad="63500" dist="50800" dir="13500000">
                  <a:srgbClr val="000000">
                    <a:alpha val="50000"/>
                  </a:srgbClr>
                </a:innerShdw>
              </a:effectLst>
            </a:rPr>
            <a:t>AVERAGE AGE : 27.8</a:t>
          </a:r>
        </a:p>
      </xdr:txBody>
    </xdr:sp>
    <xdr:clientData/>
  </xdr:oneCellAnchor>
  <xdr:oneCellAnchor>
    <xdr:from>
      <xdr:col>15</xdr:col>
      <xdr:colOff>25400</xdr:colOff>
      <xdr:row>2</xdr:row>
      <xdr:rowOff>12701</xdr:rowOff>
    </xdr:from>
    <xdr:ext cx="2419350" cy="317500"/>
    <xdr:sp macro="" textlink="">
      <xdr:nvSpPr>
        <xdr:cNvPr id="13" name="Rectangle 12">
          <a:extLst>
            <a:ext uri="{FF2B5EF4-FFF2-40B4-BE49-F238E27FC236}">
              <a16:creationId xmlns:a16="http://schemas.microsoft.com/office/drawing/2014/main" id="{1851078F-25DE-4E47-AA3D-69D2688FE2F2}"/>
            </a:ext>
          </a:extLst>
        </xdr:cNvPr>
        <xdr:cNvSpPr/>
      </xdr:nvSpPr>
      <xdr:spPr>
        <a:xfrm>
          <a:off x="9169400" y="673101"/>
          <a:ext cx="2419350" cy="317500"/>
        </a:xfrm>
        <a:prstGeom prst="rect">
          <a:avLst/>
        </a:prstGeom>
        <a:solidFill>
          <a:srgbClr val="002060"/>
        </a:solidFill>
        <a:ln>
          <a:solidFill>
            <a:schemeClr val="accent6"/>
          </a:solidFill>
        </a:ln>
      </xdr:spPr>
      <xdr:txBody>
        <a:bodyPr wrap="square" lIns="91440" tIns="45720" rIns="91440" bIns="45720">
          <a:noAutofit/>
        </a:bodyPr>
        <a:lstStyle/>
        <a:p>
          <a:pPr algn="ctr"/>
          <a:r>
            <a:rPr lang="en-US" sz="1600" b="1" cap="none" spc="50">
              <a:ln w="0"/>
              <a:solidFill>
                <a:schemeClr val="bg2"/>
              </a:solidFill>
              <a:effectLst>
                <a:innerShdw blurRad="63500" dist="50800" dir="13500000">
                  <a:srgbClr val="000000">
                    <a:alpha val="50000"/>
                  </a:srgbClr>
                </a:innerShdw>
              </a:effectLst>
            </a:rPr>
            <a:t>MEDIAN AGE : 27</a:t>
          </a:r>
        </a:p>
      </xdr:txBody>
    </xdr:sp>
    <xdr:clientData/>
  </xdr:oneCellAnchor>
  <xdr:oneCellAnchor>
    <xdr:from>
      <xdr:col>15</xdr:col>
      <xdr:colOff>19050</xdr:colOff>
      <xdr:row>3</xdr:row>
      <xdr:rowOff>171450</xdr:rowOff>
    </xdr:from>
    <xdr:ext cx="2432050" cy="552450"/>
    <xdr:sp macro="" textlink="">
      <xdr:nvSpPr>
        <xdr:cNvPr id="14" name="Rectangle 13">
          <a:extLst>
            <a:ext uri="{FF2B5EF4-FFF2-40B4-BE49-F238E27FC236}">
              <a16:creationId xmlns:a16="http://schemas.microsoft.com/office/drawing/2014/main" id="{FBDD3802-64DF-49B0-B33A-8DCDC067D551}"/>
            </a:ext>
          </a:extLst>
        </xdr:cNvPr>
        <xdr:cNvSpPr/>
      </xdr:nvSpPr>
      <xdr:spPr>
        <a:xfrm>
          <a:off x="9163050" y="1016000"/>
          <a:ext cx="2432050" cy="552450"/>
        </a:xfrm>
        <a:prstGeom prst="rect">
          <a:avLst/>
        </a:prstGeom>
        <a:solidFill>
          <a:srgbClr val="002060"/>
        </a:solidFill>
        <a:ln>
          <a:solidFill>
            <a:schemeClr val="accent6"/>
          </a:solidFill>
        </a:ln>
      </xdr:spPr>
      <xdr:txBody>
        <a:bodyPr wrap="square" lIns="91440" tIns="45720" rIns="91440" bIns="45720">
          <a:noAutofit/>
        </a:bodyPr>
        <a:lstStyle/>
        <a:p>
          <a:pPr algn="ctr"/>
          <a:r>
            <a:rPr lang="en-US" sz="1600" b="1" cap="none" spc="50">
              <a:ln w="0"/>
              <a:solidFill>
                <a:schemeClr val="bg2"/>
              </a:solidFill>
              <a:effectLst>
                <a:innerShdw blurRad="63500" dist="50800" dir="13500000">
                  <a:srgbClr val="000000">
                    <a:alpha val="50000"/>
                  </a:srgbClr>
                </a:innerShdw>
              </a:effectLst>
            </a:rPr>
            <a:t>STD.</a:t>
          </a:r>
          <a:r>
            <a:rPr lang="en-US" sz="1600" b="1" cap="none" spc="50" baseline="0">
              <a:ln w="0"/>
              <a:solidFill>
                <a:schemeClr val="bg2"/>
              </a:solidFill>
              <a:effectLst>
                <a:innerShdw blurRad="63500" dist="50800" dir="13500000">
                  <a:srgbClr val="000000">
                    <a:alpha val="50000"/>
                  </a:srgbClr>
                </a:innerShdw>
              </a:effectLst>
            </a:rPr>
            <a:t> DEVIATION</a:t>
          </a:r>
          <a:r>
            <a:rPr lang="en-US" sz="1600" b="1" cap="none" spc="50">
              <a:ln w="0"/>
              <a:solidFill>
                <a:schemeClr val="bg2"/>
              </a:solidFill>
              <a:effectLst>
                <a:innerShdw blurRad="63500" dist="50800" dir="13500000">
                  <a:srgbClr val="000000">
                    <a:alpha val="50000"/>
                  </a:srgbClr>
                </a:innerShdw>
              </a:effectLst>
            </a:rPr>
            <a:t> OF AGE : 3.51</a:t>
          </a:r>
        </a:p>
      </xdr:txBody>
    </xdr:sp>
    <xdr:clientData/>
  </xdr:oneCellAnchor>
  <xdr:twoCellAnchor editAs="oneCell">
    <xdr:from>
      <xdr:col>0</xdr:col>
      <xdr:colOff>0</xdr:colOff>
      <xdr:row>18</xdr:row>
      <xdr:rowOff>25400</xdr:rowOff>
    </xdr:from>
    <xdr:to>
      <xdr:col>3</xdr:col>
      <xdr:colOff>0</xdr:colOff>
      <xdr:row>25</xdr:row>
      <xdr:rowOff>95250</xdr:rowOff>
    </xdr:to>
    <mc:AlternateContent xmlns:mc="http://schemas.openxmlformats.org/markup-compatibility/2006" xmlns:a14="http://schemas.microsoft.com/office/drawing/2010/main">
      <mc:Choice Requires="a14">
        <xdr:graphicFrame macro="">
          <xdr:nvGraphicFramePr>
            <xdr:cNvPr id="16" name="What are your savings objectives? 1">
              <a:extLst>
                <a:ext uri="{FF2B5EF4-FFF2-40B4-BE49-F238E27FC236}">
                  <a16:creationId xmlns:a16="http://schemas.microsoft.com/office/drawing/2014/main" id="{B2D5B7FA-E7CD-4B2B-8C32-5BC7F0581ADF}"/>
                </a:ext>
              </a:extLst>
            </xdr:cNvPr>
            <xdr:cNvGraphicFramePr/>
          </xdr:nvGraphicFramePr>
          <xdr:xfrm>
            <a:off x="0" y="0"/>
            <a:ext cx="0" cy="0"/>
          </xdr:xfrm>
          <a:graphic>
            <a:graphicData uri="http://schemas.microsoft.com/office/drawing/2010/slicer">
              <sle:slicer xmlns:sle="http://schemas.microsoft.com/office/drawing/2010/slicer" name="What are your savings objectives? 1"/>
            </a:graphicData>
          </a:graphic>
        </xdr:graphicFrame>
      </mc:Choice>
      <mc:Fallback xmlns="">
        <xdr:sp macro="" textlink="">
          <xdr:nvSpPr>
            <xdr:cNvPr id="0" name=""/>
            <xdr:cNvSpPr>
              <a:spLocks noTextEdit="1"/>
            </xdr:cNvSpPr>
          </xdr:nvSpPr>
          <xdr:spPr>
            <a:xfrm>
              <a:off x="0" y="3975100"/>
              <a:ext cx="182880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18</xdr:row>
      <xdr:rowOff>0</xdr:rowOff>
    </xdr:from>
    <xdr:to>
      <xdr:col>7</xdr:col>
      <xdr:colOff>0</xdr:colOff>
      <xdr:row>25</xdr:row>
      <xdr:rowOff>76200</xdr:rowOff>
    </xdr:to>
    <xdr:graphicFrame macro="">
      <xdr:nvGraphicFramePr>
        <xdr:cNvPr id="18" name="Chart 17">
          <a:extLst>
            <a:ext uri="{FF2B5EF4-FFF2-40B4-BE49-F238E27FC236}">
              <a16:creationId xmlns:a16="http://schemas.microsoft.com/office/drawing/2014/main" id="{35823D6D-E6FA-46FD-96BF-A6E1659D1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18</xdr:row>
      <xdr:rowOff>0</xdr:rowOff>
    </xdr:from>
    <xdr:to>
      <xdr:col>9</xdr:col>
      <xdr:colOff>196850</xdr:colOff>
      <xdr:row>25</xdr:row>
      <xdr:rowOff>82550</xdr:rowOff>
    </xdr:to>
    <mc:AlternateContent xmlns:mc="http://schemas.openxmlformats.org/markup-compatibility/2006" xmlns:a14="http://schemas.microsoft.com/office/drawing/2010/main">
      <mc:Choice Requires="a14">
        <xdr:graphicFrame macro="">
          <xdr:nvGraphicFramePr>
            <xdr:cNvPr id="19" name="Duration 1">
              <a:extLst>
                <a:ext uri="{FF2B5EF4-FFF2-40B4-BE49-F238E27FC236}">
                  <a16:creationId xmlns:a16="http://schemas.microsoft.com/office/drawing/2014/main" id="{2BF47531-A835-46CE-90F4-A5C0F4D54432}"/>
                </a:ext>
              </a:extLst>
            </xdr:cNvPr>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mlns="">
        <xdr:sp macro="" textlink="">
          <xdr:nvSpPr>
            <xdr:cNvPr id="0" name=""/>
            <xdr:cNvSpPr>
              <a:spLocks noTextEdit="1"/>
            </xdr:cNvSpPr>
          </xdr:nvSpPr>
          <xdr:spPr>
            <a:xfrm>
              <a:off x="4267200" y="3949700"/>
              <a:ext cx="14160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215900</xdr:colOff>
      <xdr:row>18</xdr:row>
      <xdr:rowOff>0</xdr:rowOff>
    </xdr:from>
    <xdr:to>
      <xdr:col>13</xdr:col>
      <xdr:colOff>298450</xdr:colOff>
      <xdr:row>25</xdr:row>
      <xdr:rowOff>95250</xdr:rowOff>
    </xdr:to>
    <xdr:graphicFrame macro="">
      <xdr:nvGraphicFramePr>
        <xdr:cNvPr id="20" name="Chart 19">
          <a:extLst>
            <a:ext uri="{FF2B5EF4-FFF2-40B4-BE49-F238E27FC236}">
              <a16:creationId xmlns:a16="http://schemas.microsoft.com/office/drawing/2014/main" id="{E0E7D5B9-6B40-4F79-A20C-A025BFBAE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323850</xdr:colOff>
      <xdr:row>18</xdr:row>
      <xdr:rowOff>0</xdr:rowOff>
    </xdr:from>
    <xdr:to>
      <xdr:col>18</xdr:col>
      <xdr:colOff>603250</xdr:colOff>
      <xdr:row>25</xdr:row>
      <xdr:rowOff>114300</xdr:rowOff>
    </xdr:to>
    <xdr:graphicFrame macro="">
      <xdr:nvGraphicFramePr>
        <xdr:cNvPr id="21" name="Chart 20">
          <a:extLst>
            <a:ext uri="{FF2B5EF4-FFF2-40B4-BE49-F238E27FC236}">
              <a16:creationId xmlns:a16="http://schemas.microsoft.com/office/drawing/2014/main" id="{5DDB299C-69DD-4C94-9AEB-F2E940E6E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25400</xdr:colOff>
      <xdr:row>8</xdr:row>
      <xdr:rowOff>19050</xdr:rowOff>
    </xdr:from>
    <xdr:to>
      <xdr:col>18</xdr:col>
      <xdr:colOff>584200</xdr:colOff>
      <xdr:row>16</xdr:row>
      <xdr:rowOff>133350</xdr:rowOff>
    </xdr:to>
    <xdr:graphicFrame macro="">
      <xdr:nvGraphicFramePr>
        <xdr:cNvPr id="22" name="Chart 21">
          <a:extLst>
            <a:ext uri="{FF2B5EF4-FFF2-40B4-BE49-F238E27FC236}">
              <a16:creationId xmlns:a16="http://schemas.microsoft.com/office/drawing/2014/main" id="{B72B2EC4-6ACD-4B5A-8502-D49202088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dh" refreshedDate="45966.317028935184" createdVersion="8" refreshedVersion="8" minRefreshableVersion="3" recordCount="40" xr:uid="{BB893E13-79EE-488A-98D8-8541F182EB20}">
  <cacheSource type="worksheet">
    <worksheetSource name="Data_set_2___Copy"/>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232478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n v="1"/>
    <n v="2"/>
    <n v="5"/>
    <n v="3"/>
    <n v="7"/>
    <n v="6"/>
    <n v="4"/>
    <s v="Yes"/>
    <s v="Returns"/>
    <s v="Capital Appreciation"/>
    <s v="Wealth Creation"/>
    <x v="0"/>
    <s v="Monthly"/>
    <x v="0"/>
    <x v="0"/>
    <x v="0"/>
    <x v="0"/>
    <x v="0"/>
    <x v="0"/>
    <x v="0"/>
    <x v="0"/>
  </r>
  <r>
    <x v="0"/>
    <n v="23"/>
    <x v="0"/>
    <n v="4"/>
    <n v="3"/>
    <n v="2"/>
    <n v="1"/>
    <n v="5"/>
    <n v="6"/>
    <n v="7"/>
    <s v="No"/>
    <s v="Locking Period"/>
    <s v="Capital Appreciation"/>
    <s v="Wealth Creation"/>
    <x v="1"/>
    <s v="Weekly"/>
    <x v="0"/>
    <x v="0"/>
    <x v="1"/>
    <x v="1"/>
    <x v="0"/>
    <x v="0"/>
    <x v="1"/>
    <x v="1"/>
  </r>
  <r>
    <x v="1"/>
    <n v="30"/>
    <x v="0"/>
    <n v="3"/>
    <n v="6"/>
    <n v="4"/>
    <n v="2"/>
    <n v="5"/>
    <n v="1"/>
    <n v="7"/>
    <s v="Yes"/>
    <s v="Returns"/>
    <s v="Capital Appreciation"/>
    <s v="Wealth Creation"/>
    <x v="2"/>
    <s v="Daily"/>
    <x v="0"/>
    <x v="1"/>
    <x v="0"/>
    <x v="0"/>
    <x v="1"/>
    <x v="1"/>
    <x v="0"/>
    <x v="2"/>
  </r>
  <r>
    <x v="1"/>
    <n v="22"/>
    <x v="0"/>
    <n v="2"/>
    <n v="1"/>
    <n v="3"/>
    <n v="7"/>
    <n v="6"/>
    <n v="4"/>
    <n v="5"/>
    <s v="Yes"/>
    <s v="Returns"/>
    <s v="Income"/>
    <s v="Wealth Creation"/>
    <x v="3"/>
    <s v="Daily"/>
    <x v="1"/>
    <x v="1"/>
    <x v="0"/>
    <x v="1"/>
    <x v="2"/>
    <x v="2"/>
    <x v="1"/>
    <x v="3"/>
  </r>
  <r>
    <x v="0"/>
    <n v="24"/>
    <x v="1"/>
    <n v="2"/>
    <n v="1"/>
    <n v="3"/>
    <n v="6"/>
    <n v="4"/>
    <n v="5"/>
    <n v="7"/>
    <s v="No"/>
    <s v="Returns"/>
    <s v="Income"/>
    <s v="Wealth Creation"/>
    <x v="3"/>
    <s v="Daily"/>
    <x v="0"/>
    <x v="1"/>
    <x v="0"/>
    <x v="0"/>
    <x v="0"/>
    <x v="0"/>
    <x v="2"/>
    <x v="3"/>
  </r>
  <r>
    <x v="0"/>
    <n v="24"/>
    <x v="1"/>
    <n v="7"/>
    <n v="5"/>
    <n v="4"/>
    <n v="6"/>
    <n v="3"/>
    <n v="1"/>
    <n v="2"/>
    <s v="No"/>
    <s v="Risk"/>
    <s v="Capital Appreciation"/>
    <s v="Wealth Creation"/>
    <x v="0"/>
    <s v="Daily"/>
    <x v="2"/>
    <x v="0"/>
    <x v="0"/>
    <x v="2"/>
    <x v="2"/>
    <x v="0"/>
    <x v="2"/>
    <x v="3"/>
  </r>
  <r>
    <x v="0"/>
    <n v="27"/>
    <x v="0"/>
    <n v="3"/>
    <n v="6"/>
    <n v="4"/>
    <n v="2"/>
    <n v="5"/>
    <n v="1"/>
    <n v="7"/>
    <s v="Yes"/>
    <s v="Returns"/>
    <s v="Capital Appreciation"/>
    <s v="Wealth Creation"/>
    <x v="2"/>
    <s v="Monthly"/>
    <x v="0"/>
    <x v="1"/>
    <x v="0"/>
    <x v="0"/>
    <x v="0"/>
    <x v="1"/>
    <x v="1"/>
    <x v="1"/>
  </r>
  <r>
    <x v="1"/>
    <n v="21"/>
    <x v="0"/>
    <n v="2"/>
    <n v="3"/>
    <n v="7"/>
    <n v="4"/>
    <n v="6"/>
    <n v="1"/>
    <n v="5"/>
    <s v="Yes"/>
    <s v="Risk"/>
    <s v="Capital Appreciation"/>
    <s v="Wealth Creation"/>
    <x v="2"/>
    <s v="Monthly"/>
    <x v="0"/>
    <x v="0"/>
    <x v="0"/>
    <x v="0"/>
    <x v="0"/>
    <x v="1"/>
    <x v="2"/>
    <x v="0"/>
  </r>
  <r>
    <x v="1"/>
    <n v="35"/>
    <x v="0"/>
    <n v="2"/>
    <n v="4"/>
    <n v="7"/>
    <n v="5"/>
    <n v="3"/>
    <n v="1"/>
    <n v="6"/>
    <s v="Yes"/>
    <s v="Returns"/>
    <s v="Growth"/>
    <s v="Savings for Future"/>
    <x v="0"/>
    <s v="Weekly"/>
    <x v="0"/>
    <x v="1"/>
    <x v="0"/>
    <x v="0"/>
    <x v="2"/>
    <x v="0"/>
    <x v="0"/>
    <x v="2"/>
  </r>
  <r>
    <x v="1"/>
    <n v="31"/>
    <x v="0"/>
    <n v="1"/>
    <n v="3"/>
    <n v="7"/>
    <n v="4"/>
    <n v="5"/>
    <n v="2"/>
    <n v="6"/>
    <s v="Yes"/>
    <s v="Returns"/>
    <s v="Capital Appreciation"/>
    <s v="Wealth Creation"/>
    <x v="2"/>
    <s v="Monthly"/>
    <x v="2"/>
    <x v="2"/>
    <x v="0"/>
    <x v="0"/>
    <x v="2"/>
    <x v="1"/>
    <x v="0"/>
    <x v="0"/>
  </r>
  <r>
    <x v="0"/>
    <n v="35"/>
    <x v="0"/>
    <n v="2"/>
    <n v="4"/>
    <n v="7"/>
    <n v="5"/>
    <n v="3"/>
    <n v="1"/>
    <n v="6"/>
    <s v="Yes"/>
    <s v="Risk"/>
    <s v="Growth"/>
    <s v="Savings for Future"/>
    <x v="2"/>
    <s v="Monthly"/>
    <x v="0"/>
    <x v="0"/>
    <x v="0"/>
    <x v="0"/>
    <x v="0"/>
    <x v="1"/>
    <x v="2"/>
    <x v="1"/>
  </r>
  <r>
    <x v="1"/>
    <n v="29"/>
    <x v="0"/>
    <n v="2"/>
    <n v="5"/>
    <n v="7"/>
    <n v="6"/>
    <n v="3"/>
    <n v="1"/>
    <n v="4"/>
    <s v="Yes"/>
    <s v="Risk"/>
    <s v="Capital Appreciation"/>
    <s v="Wealth Creation"/>
    <x v="0"/>
    <s v="Monthly"/>
    <x v="0"/>
    <x v="0"/>
    <x v="0"/>
    <x v="0"/>
    <x v="2"/>
    <x v="1"/>
    <x v="0"/>
    <x v="1"/>
  </r>
  <r>
    <x v="0"/>
    <n v="21"/>
    <x v="1"/>
    <n v="1"/>
    <n v="2"/>
    <n v="3"/>
    <n v="4"/>
    <n v="5"/>
    <n v="6"/>
    <n v="7"/>
    <s v="No"/>
    <s v="Returns"/>
    <s v="Capital Appreciation"/>
    <s v="Savings for Future"/>
    <x v="0"/>
    <s v="Weekly"/>
    <x v="0"/>
    <x v="0"/>
    <x v="2"/>
    <x v="1"/>
    <x v="0"/>
    <x v="0"/>
    <x v="2"/>
    <x v="3"/>
  </r>
  <r>
    <x v="0"/>
    <n v="28"/>
    <x v="0"/>
    <n v="2"/>
    <n v="3"/>
    <n v="7"/>
    <n v="4"/>
    <n v="5"/>
    <n v="1"/>
    <n v="6"/>
    <s v="Yes"/>
    <s v="Returns"/>
    <s v="Capital Appreciation"/>
    <s v="Wealth Creation"/>
    <x v="0"/>
    <s v="Monthly"/>
    <x v="0"/>
    <x v="0"/>
    <x v="0"/>
    <x v="0"/>
    <x v="2"/>
    <x v="1"/>
    <x v="2"/>
    <x v="0"/>
  </r>
  <r>
    <x v="0"/>
    <n v="25"/>
    <x v="0"/>
    <n v="2"/>
    <n v="3"/>
    <n v="7"/>
    <n v="5"/>
    <n v="4"/>
    <n v="1"/>
    <n v="6"/>
    <s v="Yes"/>
    <s v="Returns"/>
    <s v="Capital Appreciation"/>
    <s v="Wealth Creation"/>
    <x v="0"/>
    <s v="Monthly"/>
    <x v="0"/>
    <x v="2"/>
    <x v="1"/>
    <x v="1"/>
    <x v="0"/>
    <x v="1"/>
    <x v="2"/>
    <x v="1"/>
  </r>
  <r>
    <x v="1"/>
    <n v="27"/>
    <x v="0"/>
    <n v="2"/>
    <n v="3"/>
    <n v="7"/>
    <n v="5"/>
    <n v="4"/>
    <n v="1"/>
    <n v="6"/>
    <s v="Yes"/>
    <s v="Returns"/>
    <s v="Capital Appreciation"/>
    <s v="Wealth Creation"/>
    <x v="0"/>
    <s v="Monthly"/>
    <x v="0"/>
    <x v="0"/>
    <x v="1"/>
    <x v="0"/>
    <x v="2"/>
    <x v="1"/>
    <x v="2"/>
    <x v="0"/>
  </r>
  <r>
    <x v="0"/>
    <n v="28"/>
    <x v="0"/>
    <n v="3"/>
    <n v="2"/>
    <n v="7"/>
    <n v="5"/>
    <n v="4"/>
    <n v="1"/>
    <n v="6"/>
    <s v="Yes"/>
    <s v="Risk"/>
    <s v="Growth"/>
    <s v="Wealth Creation"/>
    <x v="0"/>
    <s v="Monthly"/>
    <x v="0"/>
    <x v="2"/>
    <x v="1"/>
    <x v="0"/>
    <x v="2"/>
    <x v="1"/>
    <x v="2"/>
    <x v="2"/>
  </r>
  <r>
    <x v="1"/>
    <n v="27"/>
    <x v="0"/>
    <n v="3"/>
    <n v="2"/>
    <n v="7"/>
    <n v="4"/>
    <n v="5"/>
    <n v="1"/>
    <n v="6"/>
    <s v="Yes"/>
    <s v="Returns"/>
    <s v="Capital Appreciation"/>
    <s v="Wealth Creation"/>
    <x v="0"/>
    <s v="Monthly"/>
    <x v="0"/>
    <x v="0"/>
    <x v="0"/>
    <x v="0"/>
    <x v="0"/>
    <x v="1"/>
    <x v="2"/>
    <x v="1"/>
  </r>
  <r>
    <x v="1"/>
    <n v="29"/>
    <x v="0"/>
    <n v="3"/>
    <n v="2"/>
    <n v="7"/>
    <n v="4"/>
    <n v="5"/>
    <n v="1"/>
    <n v="6"/>
    <s v="Yes"/>
    <s v="Risk"/>
    <s v="Capital Appreciation"/>
    <s v="Wealth Creation"/>
    <x v="0"/>
    <s v="Monthly"/>
    <x v="0"/>
    <x v="0"/>
    <x v="0"/>
    <x v="0"/>
    <x v="0"/>
    <x v="1"/>
    <x v="2"/>
    <x v="0"/>
  </r>
  <r>
    <x v="1"/>
    <n v="26"/>
    <x v="0"/>
    <n v="3"/>
    <n v="4"/>
    <n v="6"/>
    <n v="5"/>
    <n v="1"/>
    <n v="2"/>
    <n v="7"/>
    <s v="Yes"/>
    <s v="Risk"/>
    <s v="Capital Appreciation"/>
    <s v="Wealth Creation"/>
    <x v="2"/>
    <s v="Monthly"/>
    <x v="0"/>
    <x v="2"/>
    <x v="1"/>
    <x v="0"/>
    <x v="2"/>
    <x v="1"/>
    <x v="2"/>
    <x v="0"/>
  </r>
  <r>
    <x v="1"/>
    <n v="29"/>
    <x v="0"/>
    <n v="2"/>
    <n v="4"/>
    <n v="7"/>
    <n v="5"/>
    <n v="3"/>
    <n v="1"/>
    <n v="6"/>
    <s v="Yes"/>
    <s v="Returns"/>
    <s v="Growth"/>
    <s v="Wealth Creation"/>
    <x v="2"/>
    <s v="Weekly"/>
    <x v="0"/>
    <x v="0"/>
    <x v="0"/>
    <x v="0"/>
    <x v="0"/>
    <x v="1"/>
    <x v="0"/>
    <x v="1"/>
  </r>
  <r>
    <x v="0"/>
    <n v="24"/>
    <x v="0"/>
    <n v="2"/>
    <n v="4"/>
    <n v="5"/>
    <n v="6"/>
    <n v="3"/>
    <n v="1"/>
    <n v="7"/>
    <s v="Yes"/>
    <s v="Risk"/>
    <s v="Capital Appreciation"/>
    <s v="Wealth Creation"/>
    <x v="2"/>
    <s v="Monthly"/>
    <x v="0"/>
    <x v="1"/>
    <x v="1"/>
    <x v="0"/>
    <x v="0"/>
    <x v="1"/>
    <x v="2"/>
    <x v="0"/>
  </r>
  <r>
    <x v="1"/>
    <n v="27"/>
    <x v="0"/>
    <n v="3"/>
    <n v="4"/>
    <n v="6"/>
    <n v="5"/>
    <n v="2"/>
    <n v="1"/>
    <n v="7"/>
    <s v="Yes"/>
    <s v="Returns"/>
    <s v="Capital Appreciation"/>
    <s v="Wealth Creation"/>
    <x v="2"/>
    <s v="Monthly"/>
    <x v="0"/>
    <x v="0"/>
    <x v="0"/>
    <x v="0"/>
    <x v="0"/>
    <x v="1"/>
    <x v="2"/>
    <x v="1"/>
  </r>
  <r>
    <x v="1"/>
    <n v="25"/>
    <x v="0"/>
    <n v="2"/>
    <n v="4"/>
    <n v="6"/>
    <n v="5"/>
    <n v="3"/>
    <n v="1"/>
    <n v="7"/>
    <s v="Yes"/>
    <s v="Risk"/>
    <s v="Growth"/>
    <s v="Savings for Future"/>
    <x v="2"/>
    <s v="Weekly"/>
    <x v="0"/>
    <x v="3"/>
    <x v="1"/>
    <x v="2"/>
    <x v="0"/>
    <x v="1"/>
    <x v="2"/>
    <x v="1"/>
  </r>
  <r>
    <x v="0"/>
    <n v="26"/>
    <x v="0"/>
    <n v="2"/>
    <n v="3"/>
    <n v="7"/>
    <n v="5"/>
    <n v="4"/>
    <n v="1"/>
    <n v="6"/>
    <s v="Yes"/>
    <s v="Returns"/>
    <s v="Capital Appreciation"/>
    <s v="Wealth Creation"/>
    <x v="2"/>
    <s v="Monthly"/>
    <x v="2"/>
    <x v="3"/>
    <x v="0"/>
    <x v="0"/>
    <x v="0"/>
    <x v="1"/>
    <x v="2"/>
    <x v="0"/>
  </r>
  <r>
    <x v="0"/>
    <n v="32"/>
    <x v="0"/>
    <n v="3"/>
    <n v="4"/>
    <n v="7"/>
    <n v="5"/>
    <n v="1"/>
    <n v="2"/>
    <n v="6"/>
    <s v="Yes"/>
    <s v="Risk"/>
    <s v="Growth"/>
    <s v="Wealth Creation"/>
    <x v="2"/>
    <s v="Monthly"/>
    <x v="0"/>
    <x v="0"/>
    <x v="0"/>
    <x v="0"/>
    <x v="0"/>
    <x v="1"/>
    <x v="0"/>
    <x v="1"/>
  </r>
  <r>
    <x v="1"/>
    <n v="26"/>
    <x v="0"/>
    <n v="3"/>
    <n v="4"/>
    <n v="6"/>
    <n v="5"/>
    <n v="1"/>
    <n v="2"/>
    <n v="7"/>
    <s v="Yes"/>
    <s v="Returns"/>
    <s v="Capital Appreciation"/>
    <s v="Wealth Creation"/>
    <x v="2"/>
    <s v="Monthly"/>
    <x v="0"/>
    <x v="0"/>
    <x v="0"/>
    <x v="1"/>
    <x v="2"/>
    <x v="1"/>
    <x v="0"/>
    <x v="1"/>
  </r>
  <r>
    <x v="1"/>
    <n v="31"/>
    <x v="0"/>
    <n v="2"/>
    <n v="3"/>
    <n v="7"/>
    <n v="6"/>
    <n v="4"/>
    <n v="1"/>
    <n v="5"/>
    <s v="Yes"/>
    <s v="Risk"/>
    <s v="Growth"/>
    <s v="Savings for Future"/>
    <x v="0"/>
    <s v="Monthly"/>
    <x v="0"/>
    <x v="2"/>
    <x v="1"/>
    <x v="0"/>
    <x v="2"/>
    <x v="0"/>
    <x v="0"/>
    <x v="2"/>
  </r>
  <r>
    <x v="1"/>
    <n v="29"/>
    <x v="0"/>
    <n v="2"/>
    <n v="3"/>
    <n v="6"/>
    <n v="5"/>
    <n v="1"/>
    <n v="4"/>
    <n v="7"/>
    <s v="Yes"/>
    <s v="Returns"/>
    <s v="Capital Appreciation"/>
    <s v="Wealth Creation"/>
    <x v="0"/>
    <s v="Monthly"/>
    <x v="0"/>
    <x v="1"/>
    <x v="0"/>
    <x v="0"/>
    <x v="0"/>
    <x v="1"/>
    <x v="2"/>
    <x v="2"/>
  </r>
  <r>
    <x v="0"/>
    <n v="34"/>
    <x v="0"/>
    <n v="5"/>
    <n v="4"/>
    <n v="3"/>
    <n v="2"/>
    <n v="7"/>
    <n v="1"/>
    <n v="6"/>
    <s v="Yes"/>
    <s v="Returns"/>
    <s v="Income"/>
    <s v="Returns"/>
    <x v="2"/>
    <s v="Monthly"/>
    <x v="1"/>
    <x v="0"/>
    <x v="0"/>
    <x v="0"/>
    <x v="1"/>
    <x v="0"/>
    <x v="0"/>
    <x v="0"/>
  </r>
  <r>
    <x v="1"/>
    <n v="27"/>
    <x v="0"/>
    <n v="4"/>
    <n v="5"/>
    <n v="1"/>
    <n v="2"/>
    <n v="7"/>
    <n v="3"/>
    <n v="6"/>
    <s v="No"/>
    <s v="Returns"/>
    <s v="Growth"/>
    <s v="Wealth Creation"/>
    <x v="0"/>
    <s v="Monthly"/>
    <x v="1"/>
    <x v="0"/>
    <x v="2"/>
    <x v="0"/>
    <x v="1"/>
    <x v="0"/>
    <x v="0"/>
    <x v="2"/>
  </r>
  <r>
    <x v="0"/>
    <n v="31"/>
    <x v="0"/>
    <n v="2"/>
    <n v="4"/>
    <n v="7"/>
    <n v="6"/>
    <n v="3"/>
    <n v="1"/>
    <n v="5"/>
    <s v="Yes"/>
    <s v="Returns"/>
    <s v="Capital Appreciation"/>
    <s v="Wealth Creation"/>
    <x v="2"/>
    <s v="Monthly"/>
    <x v="0"/>
    <x v="2"/>
    <x v="0"/>
    <x v="0"/>
    <x v="0"/>
    <x v="1"/>
    <x v="0"/>
    <x v="1"/>
  </r>
  <r>
    <x v="1"/>
    <n v="27"/>
    <x v="0"/>
    <n v="2"/>
    <n v="4"/>
    <n v="7"/>
    <n v="5"/>
    <n v="1"/>
    <n v="3"/>
    <n v="6"/>
    <s v="Yes"/>
    <s v="Returns"/>
    <s v="Capital Appreciation"/>
    <s v="Wealth Creation"/>
    <x v="2"/>
    <s v="Monthly"/>
    <x v="2"/>
    <x v="1"/>
    <x v="1"/>
    <x v="0"/>
    <x v="2"/>
    <x v="1"/>
    <x v="0"/>
    <x v="0"/>
  </r>
  <r>
    <x v="1"/>
    <n v="26"/>
    <x v="0"/>
    <n v="2"/>
    <n v="3"/>
    <n v="6"/>
    <n v="4"/>
    <n v="1"/>
    <n v="5"/>
    <n v="7"/>
    <s v="Yes"/>
    <s v="Returns"/>
    <s v="Capital Appreciation"/>
    <s v="Returns"/>
    <x v="0"/>
    <s v="Monthly"/>
    <x v="0"/>
    <x v="2"/>
    <x v="2"/>
    <x v="1"/>
    <x v="0"/>
    <x v="0"/>
    <x v="2"/>
    <x v="0"/>
  </r>
  <r>
    <x v="1"/>
    <n v="27"/>
    <x v="0"/>
    <n v="2"/>
    <n v="3"/>
    <n v="6"/>
    <n v="5"/>
    <n v="4"/>
    <n v="1"/>
    <n v="7"/>
    <s v="Yes"/>
    <s v="Returns"/>
    <s v="Capital Appreciation"/>
    <s v="Wealth Creation"/>
    <x v="0"/>
    <s v="Weekly"/>
    <x v="0"/>
    <x v="0"/>
    <x v="1"/>
    <x v="0"/>
    <x v="0"/>
    <x v="0"/>
    <x v="0"/>
    <x v="1"/>
  </r>
  <r>
    <x v="1"/>
    <n v="30"/>
    <x v="0"/>
    <n v="1"/>
    <n v="4"/>
    <n v="6"/>
    <n v="5"/>
    <n v="3"/>
    <n v="2"/>
    <n v="7"/>
    <s v="Yes"/>
    <s v="Risk"/>
    <s v="Growth"/>
    <s v="Wealth Creation"/>
    <x v="2"/>
    <s v="Monthly"/>
    <x v="0"/>
    <x v="2"/>
    <x v="1"/>
    <x v="0"/>
    <x v="0"/>
    <x v="1"/>
    <x v="0"/>
    <x v="1"/>
  </r>
  <r>
    <x v="1"/>
    <n v="30"/>
    <x v="0"/>
    <n v="2"/>
    <n v="4"/>
    <n v="7"/>
    <n v="5"/>
    <n v="1"/>
    <n v="3"/>
    <n v="6"/>
    <s v="Yes"/>
    <s v="Returns"/>
    <s v="Capital Appreciation"/>
    <s v="Wealth Creation"/>
    <x v="0"/>
    <s v="Monthly"/>
    <x v="0"/>
    <x v="1"/>
    <x v="0"/>
    <x v="0"/>
    <x v="0"/>
    <x v="1"/>
    <x v="2"/>
    <x v="0"/>
  </r>
  <r>
    <x v="1"/>
    <n v="25"/>
    <x v="0"/>
    <n v="5"/>
    <n v="4"/>
    <n v="7"/>
    <n v="6"/>
    <n v="1"/>
    <n v="2"/>
    <n v="3"/>
    <s v="Yes"/>
    <s v="Risk"/>
    <s v="Growth"/>
    <s v="Savings for Future"/>
    <x v="2"/>
    <s v="Monthly"/>
    <x v="2"/>
    <x v="3"/>
    <x v="1"/>
    <x v="0"/>
    <x v="0"/>
    <x v="0"/>
    <x v="0"/>
    <x v="1"/>
  </r>
  <r>
    <x v="1"/>
    <n v="31"/>
    <x v="0"/>
    <n v="2"/>
    <n v="4"/>
    <n v="7"/>
    <n v="5"/>
    <n v="3"/>
    <n v="1"/>
    <n v="6"/>
    <s v="Yes"/>
    <s v="Risk"/>
    <s v="Growth"/>
    <s v="Wealth Creation"/>
    <x v="0"/>
    <s v="Weekly"/>
    <x v="0"/>
    <x v="1"/>
    <x v="1"/>
    <x v="1"/>
    <x v="2"/>
    <x v="1"/>
    <x v="0"/>
    <x v="0"/>
  </r>
  <r>
    <x v="1"/>
    <n v="29"/>
    <x v="0"/>
    <n v="4"/>
    <n v="3"/>
    <n v="5"/>
    <n v="7"/>
    <n v="2"/>
    <n v="1"/>
    <n v="6"/>
    <s v="Yes"/>
    <s v="Returns"/>
    <s v="Capital Appreciation"/>
    <s v="Wealth Creation"/>
    <x v="2"/>
    <s v="Monthly"/>
    <x v="0"/>
    <x v="2"/>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5FA678-F999-4A1D-A98E-20869F5070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4">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62DFF0-E1C8-43E7-9BEE-EEDA3820BC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Avenue" fld="17" subtotal="count" baseField="0" baseItem="0"/>
  </dataFields>
  <formats count="2">
    <format dxfId="30">
      <pivotArea field="17" type="button" dataOnly="0" labelOnly="1" outline="0" axis="axisRow" fieldPosition="0"/>
    </format>
    <format dxfId="29">
      <pivotArea field="17" type="button" dataOnly="0" labelOnly="1" outline="0" axis="axisRow"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71237-80AC-44DC-A1D0-BAE5FE459E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45"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dataField="1" showAll="0">
      <items count="4">
        <item x="0"/>
        <item x="2"/>
        <item x="1"/>
        <item t="default"/>
      </items>
    </pivotField>
    <pivotField axis="axisRow" dataField="1" showAll="0">
      <items count="4">
        <item x="1"/>
        <item x="0"/>
        <item x="2"/>
        <item t="default"/>
      </items>
    </pivotField>
    <pivotField axis="axisRow" dataField="1" showAll="0">
      <items count="4">
        <item x="0"/>
        <item x="1"/>
        <item x="2"/>
        <item t="default"/>
      </items>
    </pivotField>
    <pivotField showAll="0"/>
  </pivotFields>
  <rowFields count="4">
    <field x="22"/>
    <field x="20"/>
    <field x="21"/>
    <field x="19"/>
  </rowFields>
  <rowItems count="42">
    <i>
      <x/>
    </i>
    <i r="1">
      <x/>
    </i>
    <i r="2">
      <x/>
    </i>
    <i r="3">
      <x/>
    </i>
    <i r="2">
      <x v="1"/>
    </i>
    <i r="3">
      <x/>
    </i>
    <i r="3">
      <x v="1"/>
    </i>
    <i r="1">
      <x v="1"/>
    </i>
    <i r="2">
      <x/>
    </i>
    <i r="3">
      <x/>
    </i>
    <i r="3">
      <x v="1"/>
    </i>
    <i r="2">
      <x v="1"/>
    </i>
    <i r="3">
      <x/>
    </i>
    <i r="1">
      <x v="2"/>
    </i>
    <i r="2">
      <x/>
    </i>
    <i r="3">
      <x/>
    </i>
    <i r="2">
      <x v="1"/>
    </i>
    <i r="3">
      <x/>
    </i>
    <i>
      <x v="1"/>
    </i>
    <i r="1">
      <x/>
    </i>
    <i r="2">
      <x/>
    </i>
    <i r="3">
      <x/>
    </i>
    <i r="2">
      <x v="1"/>
    </i>
    <i r="3">
      <x v="1"/>
    </i>
    <i r="1">
      <x v="1"/>
    </i>
    <i r="2">
      <x v="2"/>
    </i>
    <i r="3">
      <x v="1"/>
    </i>
    <i>
      <x v="2"/>
    </i>
    <i r="1">
      <x/>
    </i>
    <i r="2">
      <x/>
    </i>
    <i r="3">
      <x/>
    </i>
    <i r="3">
      <x v="1"/>
    </i>
    <i r="3">
      <x v="2"/>
    </i>
    <i r="2">
      <x v="1"/>
    </i>
    <i r="3">
      <x/>
    </i>
    <i r="3">
      <x v="1"/>
    </i>
    <i r="1">
      <x v="1"/>
    </i>
    <i r="2">
      <x/>
    </i>
    <i r="3">
      <x/>
    </i>
    <i r="2">
      <x v="1"/>
    </i>
    <i r="3">
      <x v="2"/>
    </i>
    <i t="grand">
      <x/>
    </i>
  </rowItems>
  <colFields count="1">
    <field x="-2"/>
  </colFields>
  <colItems count="4">
    <i>
      <x/>
    </i>
    <i i="1">
      <x v="1"/>
    </i>
    <i i="2">
      <x v="2"/>
    </i>
    <i i="3">
      <x v="3"/>
    </i>
  </colItems>
  <dataFields count="4">
    <dataField name="Count of Reason_FD" fld="22" subtotal="count" baseField="0" baseItem="0"/>
    <dataField name="Count of Reason_Mutual" fld="20" subtotal="count" baseField="0" baseItem="0"/>
    <dataField name="Count of Reason_Bonds" fld="21" subtotal="count" baseField="0" baseItem="0"/>
    <dataField name="Count of Reason_Equity" fld="19" subtotal="count" baseField="0" baseItem="0"/>
  </dataFields>
  <chartFormats count="15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0" series="1">
      <pivotArea type="data" outline="0" fieldPosition="0">
        <references count="1">
          <reference field="4294967294" count="1" selected="0">
            <x v="0"/>
          </reference>
        </references>
      </pivotArea>
    </chartFormat>
    <chartFormat chart="3" format="81">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0"/>
          </reference>
        </references>
      </pivotArea>
    </chartFormat>
    <chartFormat chart="3" format="82">
      <pivotArea type="data" outline="0" fieldPosition="0">
        <references count="5">
          <reference field="4294967294" count="1" selected="0">
            <x v="0"/>
          </reference>
          <reference field="19" count="1" selected="0">
            <x v="0"/>
          </reference>
          <reference field="20" count="1" selected="0">
            <x v="0"/>
          </reference>
          <reference field="21" count="1" selected="0">
            <x v="1"/>
          </reference>
          <reference field="22" count="1" selected="0">
            <x v="0"/>
          </reference>
        </references>
      </pivotArea>
    </chartFormat>
    <chartFormat chart="3" format="83">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0"/>
          </reference>
        </references>
      </pivotArea>
    </chartFormat>
    <chartFormat chart="3" format="84">
      <pivotArea type="data" outline="0" fieldPosition="0">
        <references count="5">
          <reference field="4294967294" count="1" selected="0">
            <x v="0"/>
          </reference>
          <reference field="19" count="1" selected="0">
            <x v="0"/>
          </reference>
          <reference field="20" count="1" selected="0">
            <x v="1"/>
          </reference>
          <reference field="21" count="1" selected="0">
            <x v="0"/>
          </reference>
          <reference field="22" count="1" selected="0">
            <x v="0"/>
          </reference>
        </references>
      </pivotArea>
    </chartFormat>
    <chartFormat chart="3" format="85">
      <pivotArea type="data" outline="0" fieldPosition="0">
        <references count="5">
          <reference field="4294967294" count="1" selected="0">
            <x v="0"/>
          </reference>
          <reference field="19" count="1" selected="0">
            <x v="1"/>
          </reference>
          <reference field="20" count="1" selected="0">
            <x v="1"/>
          </reference>
          <reference field="21" count="1" selected="0">
            <x v="0"/>
          </reference>
          <reference field="22" count="1" selected="0">
            <x v="0"/>
          </reference>
        </references>
      </pivotArea>
    </chartFormat>
    <chartFormat chart="3" format="86">
      <pivotArea type="data" outline="0" fieldPosition="0">
        <references count="5">
          <reference field="4294967294" count="1" selected="0">
            <x v="0"/>
          </reference>
          <reference field="19" count="1" selected="0">
            <x v="0"/>
          </reference>
          <reference field="20" count="1" selected="0">
            <x v="1"/>
          </reference>
          <reference field="21" count="1" selected="0">
            <x v="1"/>
          </reference>
          <reference field="22" count="1" selected="0">
            <x v="0"/>
          </reference>
        </references>
      </pivotArea>
    </chartFormat>
    <chartFormat chart="3" format="87">
      <pivotArea type="data" outline="0" fieldPosition="0">
        <references count="5">
          <reference field="4294967294" count="1" selected="0">
            <x v="0"/>
          </reference>
          <reference field="19" count="1" selected="0">
            <x v="0"/>
          </reference>
          <reference field="20" count="1" selected="0">
            <x v="2"/>
          </reference>
          <reference field="21" count="1" selected="0">
            <x v="0"/>
          </reference>
          <reference field="22" count="1" selected="0">
            <x v="0"/>
          </reference>
        </references>
      </pivotArea>
    </chartFormat>
    <chartFormat chart="3" format="88">
      <pivotArea type="data" outline="0" fieldPosition="0">
        <references count="5">
          <reference field="4294967294" count="1" selected="0">
            <x v="0"/>
          </reference>
          <reference field="19" count="1" selected="0">
            <x v="0"/>
          </reference>
          <reference field="20" count="1" selected="0">
            <x v="2"/>
          </reference>
          <reference field="21" count="1" selected="0">
            <x v="1"/>
          </reference>
          <reference field="22" count="1" selected="0">
            <x v="0"/>
          </reference>
        </references>
      </pivotArea>
    </chartFormat>
    <chartFormat chart="3" format="89">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1"/>
          </reference>
        </references>
      </pivotArea>
    </chartFormat>
    <chartFormat chart="3" format="90">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1"/>
          </reference>
        </references>
      </pivotArea>
    </chartFormat>
    <chartFormat chart="3" format="91">
      <pivotArea type="data" outline="0" fieldPosition="0">
        <references count="5">
          <reference field="4294967294" count="1" selected="0">
            <x v="0"/>
          </reference>
          <reference field="19" count="1" selected="0">
            <x v="1"/>
          </reference>
          <reference field="20" count="1" selected="0">
            <x v="1"/>
          </reference>
          <reference field="21" count="1" selected="0">
            <x v="2"/>
          </reference>
          <reference field="22" count="1" selected="0">
            <x v="1"/>
          </reference>
        </references>
      </pivotArea>
    </chartFormat>
    <chartFormat chart="3" format="92">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2"/>
          </reference>
        </references>
      </pivotArea>
    </chartFormat>
    <chartFormat chart="3" format="93">
      <pivotArea type="data" outline="0" fieldPosition="0">
        <references count="5">
          <reference field="4294967294" count="1" selected="0">
            <x v="0"/>
          </reference>
          <reference field="19" count="1" selected="0">
            <x v="1"/>
          </reference>
          <reference field="20" count="1" selected="0">
            <x v="0"/>
          </reference>
          <reference field="21" count="1" selected="0">
            <x v="0"/>
          </reference>
          <reference field="22" count="1" selected="0">
            <x v="2"/>
          </reference>
        </references>
      </pivotArea>
    </chartFormat>
    <chartFormat chart="3" format="94">
      <pivotArea type="data" outline="0" fieldPosition="0">
        <references count="5">
          <reference field="4294967294" count="1" selected="0">
            <x v="0"/>
          </reference>
          <reference field="19" count="1" selected="0">
            <x v="2"/>
          </reference>
          <reference field="20" count="1" selected="0">
            <x v="0"/>
          </reference>
          <reference field="21" count="1" selected="0">
            <x v="0"/>
          </reference>
          <reference field="22" count="1" selected="0">
            <x v="2"/>
          </reference>
        </references>
      </pivotArea>
    </chartFormat>
    <chartFormat chart="3" format="95">
      <pivotArea type="data" outline="0" fieldPosition="0">
        <references count="5">
          <reference field="4294967294" count="1" selected="0">
            <x v="0"/>
          </reference>
          <reference field="19" count="1" selected="0">
            <x v="0"/>
          </reference>
          <reference field="20" count="1" selected="0">
            <x v="0"/>
          </reference>
          <reference field="21" count="1" selected="0">
            <x v="1"/>
          </reference>
          <reference field="22" count="1" selected="0">
            <x v="2"/>
          </reference>
        </references>
      </pivotArea>
    </chartFormat>
    <chartFormat chart="3" format="96">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2"/>
          </reference>
        </references>
      </pivotArea>
    </chartFormat>
    <chartFormat chart="3" format="97">
      <pivotArea type="data" outline="0" fieldPosition="0">
        <references count="5">
          <reference field="4294967294" count="1" selected="0">
            <x v="0"/>
          </reference>
          <reference field="19" count="1" selected="0">
            <x v="0"/>
          </reference>
          <reference field="20" count="1" selected="0">
            <x v="1"/>
          </reference>
          <reference field="21" count="1" selected="0">
            <x v="0"/>
          </reference>
          <reference field="22" count="1" selected="0">
            <x v="2"/>
          </reference>
        </references>
      </pivotArea>
    </chartFormat>
    <chartFormat chart="3" format="98">
      <pivotArea type="data" outline="0" fieldPosition="0">
        <references count="5">
          <reference field="4294967294" count="1" selected="0">
            <x v="0"/>
          </reference>
          <reference field="19" count="1" selected="0">
            <x v="2"/>
          </reference>
          <reference field="20" count="1" selected="0">
            <x v="1"/>
          </reference>
          <reference field="21" count="1" selected="0">
            <x v="1"/>
          </reference>
          <reference field="22" count="1" selected="0">
            <x v="2"/>
          </reference>
        </references>
      </pivotArea>
    </chartFormat>
    <chartFormat chart="3" format="99" series="1">
      <pivotArea type="data" outline="0" fieldPosition="0">
        <references count="1">
          <reference field="4294967294" count="1" selected="0">
            <x v="1"/>
          </reference>
        </references>
      </pivotArea>
    </chartFormat>
    <chartFormat chart="3" format="100">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0"/>
          </reference>
        </references>
      </pivotArea>
    </chartFormat>
    <chartFormat chart="3" format="101">
      <pivotArea type="data" outline="0" fieldPosition="0">
        <references count="5">
          <reference field="4294967294" count="1" selected="0">
            <x v="1"/>
          </reference>
          <reference field="19" count="1" selected="0">
            <x v="0"/>
          </reference>
          <reference field="20" count="1" selected="0">
            <x v="0"/>
          </reference>
          <reference field="21" count="1" selected="0">
            <x v="1"/>
          </reference>
          <reference field="22" count="1" selected="0">
            <x v="0"/>
          </reference>
        </references>
      </pivotArea>
    </chartFormat>
    <chartFormat chart="3" format="102">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0"/>
          </reference>
        </references>
      </pivotArea>
    </chartFormat>
    <chartFormat chart="3" format="103">
      <pivotArea type="data" outline="0" fieldPosition="0">
        <references count="5">
          <reference field="4294967294" count="1" selected="0">
            <x v="1"/>
          </reference>
          <reference field="19" count="1" selected="0">
            <x v="0"/>
          </reference>
          <reference field="20" count="1" selected="0">
            <x v="1"/>
          </reference>
          <reference field="21" count="1" selected="0">
            <x v="0"/>
          </reference>
          <reference field="22" count="1" selected="0">
            <x v="0"/>
          </reference>
        </references>
      </pivotArea>
    </chartFormat>
    <chartFormat chart="3" format="104">
      <pivotArea type="data" outline="0" fieldPosition="0">
        <references count="5">
          <reference field="4294967294" count="1" selected="0">
            <x v="1"/>
          </reference>
          <reference field="19" count="1" selected="0">
            <x v="1"/>
          </reference>
          <reference field="20" count="1" selected="0">
            <x v="1"/>
          </reference>
          <reference field="21" count="1" selected="0">
            <x v="0"/>
          </reference>
          <reference field="22" count="1" selected="0">
            <x v="0"/>
          </reference>
        </references>
      </pivotArea>
    </chartFormat>
    <chartFormat chart="3" format="105">
      <pivotArea type="data" outline="0" fieldPosition="0">
        <references count="5">
          <reference field="4294967294" count="1" selected="0">
            <x v="1"/>
          </reference>
          <reference field="19" count="1" selected="0">
            <x v="0"/>
          </reference>
          <reference field="20" count="1" selected="0">
            <x v="1"/>
          </reference>
          <reference field="21" count="1" selected="0">
            <x v="1"/>
          </reference>
          <reference field="22" count="1" selected="0">
            <x v="0"/>
          </reference>
        </references>
      </pivotArea>
    </chartFormat>
    <chartFormat chart="3" format="106">
      <pivotArea type="data" outline="0" fieldPosition="0">
        <references count="5">
          <reference field="4294967294" count="1" selected="0">
            <x v="1"/>
          </reference>
          <reference field="19" count="1" selected="0">
            <x v="0"/>
          </reference>
          <reference field="20" count="1" selected="0">
            <x v="2"/>
          </reference>
          <reference field="21" count="1" selected="0">
            <x v="0"/>
          </reference>
          <reference field="22" count="1" selected="0">
            <x v="0"/>
          </reference>
        </references>
      </pivotArea>
    </chartFormat>
    <chartFormat chart="3" format="107">
      <pivotArea type="data" outline="0" fieldPosition="0">
        <references count="5">
          <reference field="4294967294" count="1" selected="0">
            <x v="1"/>
          </reference>
          <reference field="19" count="1" selected="0">
            <x v="0"/>
          </reference>
          <reference field="20" count="1" selected="0">
            <x v="2"/>
          </reference>
          <reference field="21" count="1" selected="0">
            <x v="1"/>
          </reference>
          <reference field="22" count="1" selected="0">
            <x v="0"/>
          </reference>
        </references>
      </pivotArea>
    </chartFormat>
    <chartFormat chart="3" format="108">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1"/>
          </reference>
        </references>
      </pivotArea>
    </chartFormat>
    <chartFormat chart="3" format="109">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1"/>
          </reference>
        </references>
      </pivotArea>
    </chartFormat>
    <chartFormat chart="3" format="110">
      <pivotArea type="data" outline="0" fieldPosition="0">
        <references count="5">
          <reference field="4294967294" count="1" selected="0">
            <x v="1"/>
          </reference>
          <reference field="19" count="1" selected="0">
            <x v="1"/>
          </reference>
          <reference field="20" count="1" selected="0">
            <x v="1"/>
          </reference>
          <reference field="21" count="1" selected="0">
            <x v="2"/>
          </reference>
          <reference field="22" count="1" selected="0">
            <x v="1"/>
          </reference>
        </references>
      </pivotArea>
    </chartFormat>
    <chartFormat chart="3" format="111">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2"/>
          </reference>
        </references>
      </pivotArea>
    </chartFormat>
    <chartFormat chart="3" format="112">
      <pivotArea type="data" outline="0" fieldPosition="0">
        <references count="5">
          <reference field="4294967294" count="1" selected="0">
            <x v="1"/>
          </reference>
          <reference field="19" count="1" selected="0">
            <x v="1"/>
          </reference>
          <reference field="20" count="1" selected="0">
            <x v="0"/>
          </reference>
          <reference field="21" count="1" selected="0">
            <x v="0"/>
          </reference>
          <reference field="22" count="1" selected="0">
            <x v="2"/>
          </reference>
        </references>
      </pivotArea>
    </chartFormat>
    <chartFormat chart="3" format="113">
      <pivotArea type="data" outline="0" fieldPosition="0">
        <references count="5">
          <reference field="4294967294" count="1" selected="0">
            <x v="1"/>
          </reference>
          <reference field="19" count="1" selected="0">
            <x v="2"/>
          </reference>
          <reference field="20" count="1" selected="0">
            <x v="0"/>
          </reference>
          <reference field="21" count="1" selected="0">
            <x v="0"/>
          </reference>
          <reference field="22" count="1" selected="0">
            <x v="2"/>
          </reference>
        </references>
      </pivotArea>
    </chartFormat>
    <chartFormat chart="3" format="114">
      <pivotArea type="data" outline="0" fieldPosition="0">
        <references count="5">
          <reference field="4294967294" count="1" selected="0">
            <x v="1"/>
          </reference>
          <reference field="19" count="1" selected="0">
            <x v="0"/>
          </reference>
          <reference field="20" count="1" selected="0">
            <x v="0"/>
          </reference>
          <reference field="21" count="1" selected="0">
            <x v="1"/>
          </reference>
          <reference field="22" count="1" selected="0">
            <x v="2"/>
          </reference>
        </references>
      </pivotArea>
    </chartFormat>
    <chartFormat chart="3" format="115">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2"/>
          </reference>
        </references>
      </pivotArea>
    </chartFormat>
    <chartFormat chart="3" format="116">
      <pivotArea type="data" outline="0" fieldPosition="0">
        <references count="5">
          <reference field="4294967294" count="1" selected="0">
            <x v="1"/>
          </reference>
          <reference field="19" count="1" selected="0">
            <x v="0"/>
          </reference>
          <reference field="20" count="1" selected="0">
            <x v="1"/>
          </reference>
          <reference field="21" count="1" selected="0">
            <x v="0"/>
          </reference>
          <reference field="22" count="1" selected="0">
            <x v="2"/>
          </reference>
        </references>
      </pivotArea>
    </chartFormat>
    <chartFormat chart="3" format="117">
      <pivotArea type="data" outline="0" fieldPosition="0">
        <references count="5">
          <reference field="4294967294" count="1" selected="0">
            <x v="1"/>
          </reference>
          <reference field="19" count="1" selected="0">
            <x v="2"/>
          </reference>
          <reference field="20" count="1" selected="0">
            <x v="1"/>
          </reference>
          <reference field="21" count="1" selected="0">
            <x v="1"/>
          </reference>
          <reference field="22" count="1" selected="0">
            <x v="2"/>
          </reference>
        </references>
      </pivotArea>
    </chartFormat>
    <chartFormat chart="3" format="118" series="1">
      <pivotArea type="data" outline="0" fieldPosition="0">
        <references count="1">
          <reference field="4294967294" count="1" selected="0">
            <x v="2"/>
          </reference>
        </references>
      </pivotArea>
    </chartFormat>
    <chartFormat chart="3" format="119">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0"/>
          </reference>
        </references>
      </pivotArea>
    </chartFormat>
    <chartFormat chart="3" format="120">
      <pivotArea type="data" outline="0" fieldPosition="0">
        <references count="5">
          <reference field="4294967294" count="1" selected="0">
            <x v="2"/>
          </reference>
          <reference field="19" count="1" selected="0">
            <x v="0"/>
          </reference>
          <reference field="20" count="1" selected="0">
            <x v="0"/>
          </reference>
          <reference field="21" count="1" selected="0">
            <x v="1"/>
          </reference>
          <reference field="22" count="1" selected="0">
            <x v="0"/>
          </reference>
        </references>
      </pivotArea>
    </chartFormat>
    <chartFormat chart="3" format="121">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0"/>
          </reference>
        </references>
      </pivotArea>
    </chartFormat>
    <chartFormat chart="3" format="122">
      <pivotArea type="data" outline="0" fieldPosition="0">
        <references count="5">
          <reference field="4294967294" count="1" selected="0">
            <x v="2"/>
          </reference>
          <reference field="19" count="1" selected="0">
            <x v="0"/>
          </reference>
          <reference field="20" count="1" selected="0">
            <x v="1"/>
          </reference>
          <reference field="21" count="1" selected="0">
            <x v="0"/>
          </reference>
          <reference field="22" count="1" selected="0">
            <x v="0"/>
          </reference>
        </references>
      </pivotArea>
    </chartFormat>
    <chartFormat chart="3" format="123">
      <pivotArea type="data" outline="0" fieldPosition="0">
        <references count="5">
          <reference field="4294967294" count="1" selected="0">
            <x v="2"/>
          </reference>
          <reference field="19" count="1" selected="0">
            <x v="1"/>
          </reference>
          <reference field="20" count="1" selected="0">
            <x v="1"/>
          </reference>
          <reference field="21" count="1" selected="0">
            <x v="0"/>
          </reference>
          <reference field="22" count="1" selected="0">
            <x v="0"/>
          </reference>
        </references>
      </pivotArea>
    </chartFormat>
    <chartFormat chart="3" format="124">
      <pivotArea type="data" outline="0" fieldPosition="0">
        <references count="5">
          <reference field="4294967294" count="1" selected="0">
            <x v="2"/>
          </reference>
          <reference field="19" count="1" selected="0">
            <x v="0"/>
          </reference>
          <reference field="20" count="1" selected="0">
            <x v="1"/>
          </reference>
          <reference field="21" count="1" selected="0">
            <x v="1"/>
          </reference>
          <reference field="22" count="1" selected="0">
            <x v="0"/>
          </reference>
        </references>
      </pivotArea>
    </chartFormat>
    <chartFormat chart="3" format="125">
      <pivotArea type="data" outline="0" fieldPosition="0">
        <references count="5">
          <reference field="4294967294" count="1" selected="0">
            <x v="2"/>
          </reference>
          <reference field="19" count="1" selected="0">
            <x v="0"/>
          </reference>
          <reference field="20" count="1" selected="0">
            <x v="2"/>
          </reference>
          <reference field="21" count="1" selected="0">
            <x v="0"/>
          </reference>
          <reference field="22" count="1" selected="0">
            <x v="0"/>
          </reference>
        </references>
      </pivotArea>
    </chartFormat>
    <chartFormat chart="3" format="126">
      <pivotArea type="data" outline="0" fieldPosition="0">
        <references count="5">
          <reference field="4294967294" count="1" selected="0">
            <x v="2"/>
          </reference>
          <reference field="19" count="1" selected="0">
            <x v="0"/>
          </reference>
          <reference field="20" count="1" selected="0">
            <x v="2"/>
          </reference>
          <reference field="21" count="1" selected="0">
            <x v="1"/>
          </reference>
          <reference field="22" count="1" selected="0">
            <x v="0"/>
          </reference>
        </references>
      </pivotArea>
    </chartFormat>
    <chartFormat chart="3" format="127">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1"/>
          </reference>
        </references>
      </pivotArea>
    </chartFormat>
    <chartFormat chart="3" format="128">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1"/>
          </reference>
        </references>
      </pivotArea>
    </chartFormat>
    <chartFormat chart="3" format="129">
      <pivotArea type="data" outline="0" fieldPosition="0">
        <references count="5">
          <reference field="4294967294" count="1" selected="0">
            <x v="2"/>
          </reference>
          <reference field="19" count="1" selected="0">
            <x v="1"/>
          </reference>
          <reference field="20" count="1" selected="0">
            <x v="1"/>
          </reference>
          <reference field="21" count="1" selected="0">
            <x v="2"/>
          </reference>
          <reference field="22" count="1" selected="0">
            <x v="1"/>
          </reference>
        </references>
      </pivotArea>
    </chartFormat>
    <chartFormat chart="3" format="130">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2"/>
          </reference>
        </references>
      </pivotArea>
    </chartFormat>
    <chartFormat chart="3" format="131">
      <pivotArea type="data" outline="0" fieldPosition="0">
        <references count="5">
          <reference field="4294967294" count="1" selected="0">
            <x v="2"/>
          </reference>
          <reference field="19" count="1" selected="0">
            <x v="1"/>
          </reference>
          <reference field="20" count="1" selected="0">
            <x v="0"/>
          </reference>
          <reference field="21" count="1" selected="0">
            <x v="0"/>
          </reference>
          <reference field="22" count="1" selected="0">
            <x v="2"/>
          </reference>
        </references>
      </pivotArea>
    </chartFormat>
    <chartFormat chart="3" format="132">
      <pivotArea type="data" outline="0" fieldPosition="0">
        <references count="5">
          <reference field="4294967294" count="1" selected="0">
            <x v="2"/>
          </reference>
          <reference field="19" count="1" selected="0">
            <x v="2"/>
          </reference>
          <reference field="20" count="1" selected="0">
            <x v="0"/>
          </reference>
          <reference field="21" count="1" selected="0">
            <x v="0"/>
          </reference>
          <reference field="22" count="1" selected="0">
            <x v="2"/>
          </reference>
        </references>
      </pivotArea>
    </chartFormat>
    <chartFormat chart="3" format="133">
      <pivotArea type="data" outline="0" fieldPosition="0">
        <references count="5">
          <reference field="4294967294" count="1" selected="0">
            <x v="2"/>
          </reference>
          <reference field="19" count="1" selected="0">
            <x v="0"/>
          </reference>
          <reference field="20" count="1" selected="0">
            <x v="0"/>
          </reference>
          <reference field="21" count="1" selected="0">
            <x v="1"/>
          </reference>
          <reference field="22" count="1" selected="0">
            <x v="2"/>
          </reference>
        </references>
      </pivotArea>
    </chartFormat>
    <chartFormat chart="3" format="134">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2"/>
          </reference>
        </references>
      </pivotArea>
    </chartFormat>
    <chartFormat chart="3" format="135">
      <pivotArea type="data" outline="0" fieldPosition="0">
        <references count="5">
          <reference field="4294967294" count="1" selected="0">
            <x v="2"/>
          </reference>
          <reference field="19" count="1" selected="0">
            <x v="0"/>
          </reference>
          <reference field="20" count="1" selected="0">
            <x v="1"/>
          </reference>
          <reference field="21" count="1" selected="0">
            <x v="0"/>
          </reference>
          <reference field="22" count="1" selected="0">
            <x v="2"/>
          </reference>
        </references>
      </pivotArea>
    </chartFormat>
    <chartFormat chart="3" format="136">
      <pivotArea type="data" outline="0" fieldPosition="0">
        <references count="5">
          <reference field="4294967294" count="1" selected="0">
            <x v="2"/>
          </reference>
          <reference field="19" count="1" selected="0">
            <x v="2"/>
          </reference>
          <reference field="20" count="1" selected="0">
            <x v="1"/>
          </reference>
          <reference field="21" count="1" selected="0">
            <x v="1"/>
          </reference>
          <reference field="22" count="1" selected="0">
            <x v="2"/>
          </reference>
        </references>
      </pivotArea>
    </chartFormat>
    <chartFormat chart="3" format="137" series="1">
      <pivotArea type="data" outline="0" fieldPosition="0">
        <references count="1">
          <reference field="4294967294" count="1" selected="0">
            <x v="3"/>
          </reference>
        </references>
      </pivotArea>
    </chartFormat>
    <chartFormat chart="3" format="138">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0"/>
          </reference>
        </references>
      </pivotArea>
    </chartFormat>
    <chartFormat chart="3" format="139">
      <pivotArea type="data" outline="0" fieldPosition="0">
        <references count="5">
          <reference field="4294967294" count="1" selected="0">
            <x v="3"/>
          </reference>
          <reference field="19" count="1" selected="0">
            <x v="0"/>
          </reference>
          <reference field="20" count="1" selected="0">
            <x v="0"/>
          </reference>
          <reference field="21" count="1" selected="0">
            <x v="1"/>
          </reference>
          <reference field="22" count="1" selected="0">
            <x v="0"/>
          </reference>
        </references>
      </pivotArea>
    </chartFormat>
    <chartFormat chart="3" format="140">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0"/>
          </reference>
        </references>
      </pivotArea>
    </chartFormat>
    <chartFormat chart="3" format="141">
      <pivotArea type="data" outline="0" fieldPosition="0">
        <references count="5">
          <reference field="4294967294" count="1" selected="0">
            <x v="3"/>
          </reference>
          <reference field="19" count="1" selected="0">
            <x v="0"/>
          </reference>
          <reference field="20" count="1" selected="0">
            <x v="1"/>
          </reference>
          <reference field="21" count="1" selected="0">
            <x v="0"/>
          </reference>
          <reference field="22" count="1" selected="0">
            <x v="0"/>
          </reference>
        </references>
      </pivotArea>
    </chartFormat>
    <chartFormat chart="3" format="142">
      <pivotArea type="data" outline="0" fieldPosition="0">
        <references count="5">
          <reference field="4294967294" count="1" selected="0">
            <x v="3"/>
          </reference>
          <reference field="19" count="1" selected="0">
            <x v="1"/>
          </reference>
          <reference field="20" count="1" selected="0">
            <x v="1"/>
          </reference>
          <reference field="21" count="1" selected="0">
            <x v="0"/>
          </reference>
          <reference field="22" count="1" selected="0">
            <x v="0"/>
          </reference>
        </references>
      </pivotArea>
    </chartFormat>
    <chartFormat chart="3" format="143">
      <pivotArea type="data" outline="0" fieldPosition="0">
        <references count="5">
          <reference field="4294967294" count="1" selected="0">
            <x v="3"/>
          </reference>
          <reference field="19" count="1" selected="0">
            <x v="0"/>
          </reference>
          <reference field="20" count="1" selected="0">
            <x v="1"/>
          </reference>
          <reference field="21" count="1" selected="0">
            <x v="1"/>
          </reference>
          <reference field="22" count="1" selected="0">
            <x v="0"/>
          </reference>
        </references>
      </pivotArea>
    </chartFormat>
    <chartFormat chart="3" format="144">
      <pivotArea type="data" outline="0" fieldPosition="0">
        <references count="5">
          <reference field="4294967294" count="1" selected="0">
            <x v="3"/>
          </reference>
          <reference field="19" count="1" selected="0">
            <x v="0"/>
          </reference>
          <reference field="20" count="1" selected="0">
            <x v="2"/>
          </reference>
          <reference field="21" count="1" selected="0">
            <x v="0"/>
          </reference>
          <reference field="22" count="1" selected="0">
            <x v="0"/>
          </reference>
        </references>
      </pivotArea>
    </chartFormat>
    <chartFormat chart="3" format="145">
      <pivotArea type="data" outline="0" fieldPosition="0">
        <references count="5">
          <reference field="4294967294" count="1" selected="0">
            <x v="3"/>
          </reference>
          <reference field="19" count="1" selected="0">
            <x v="0"/>
          </reference>
          <reference field="20" count="1" selected="0">
            <x v="2"/>
          </reference>
          <reference field="21" count="1" selected="0">
            <x v="1"/>
          </reference>
          <reference field="22" count="1" selected="0">
            <x v="0"/>
          </reference>
        </references>
      </pivotArea>
    </chartFormat>
    <chartFormat chart="3" format="146">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1"/>
          </reference>
        </references>
      </pivotArea>
    </chartFormat>
    <chartFormat chart="3" format="147">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1"/>
          </reference>
        </references>
      </pivotArea>
    </chartFormat>
    <chartFormat chart="3" format="148">
      <pivotArea type="data" outline="0" fieldPosition="0">
        <references count="5">
          <reference field="4294967294" count="1" selected="0">
            <x v="3"/>
          </reference>
          <reference field="19" count="1" selected="0">
            <x v="1"/>
          </reference>
          <reference field="20" count="1" selected="0">
            <x v="1"/>
          </reference>
          <reference field="21" count="1" selected="0">
            <x v="2"/>
          </reference>
          <reference field="22" count="1" selected="0">
            <x v="1"/>
          </reference>
        </references>
      </pivotArea>
    </chartFormat>
    <chartFormat chart="3" format="149">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2"/>
          </reference>
        </references>
      </pivotArea>
    </chartFormat>
    <chartFormat chart="3" format="150">
      <pivotArea type="data" outline="0" fieldPosition="0">
        <references count="5">
          <reference field="4294967294" count="1" selected="0">
            <x v="3"/>
          </reference>
          <reference field="19" count="1" selected="0">
            <x v="1"/>
          </reference>
          <reference field="20" count="1" selected="0">
            <x v="0"/>
          </reference>
          <reference field="21" count="1" selected="0">
            <x v="0"/>
          </reference>
          <reference field="22" count="1" selected="0">
            <x v="2"/>
          </reference>
        </references>
      </pivotArea>
    </chartFormat>
    <chartFormat chart="3" format="151">
      <pivotArea type="data" outline="0" fieldPosition="0">
        <references count="5">
          <reference field="4294967294" count="1" selected="0">
            <x v="3"/>
          </reference>
          <reference field="19" count="1" selected="0">
            <x v="2"/>
          </reference>
          <reference field="20" count="1" selected="0">
            <x v="0"/>
          </reference>
          <reference field="21" count="1" selected="0">
            <x v="0"/>
          </reference>
          <reference field="22" count="1" selected="0">
            <x v="2"/>
          </reference>
        </references>
      </pivotArea>
    </chartFormat>
    <chartFormat chart="3" format="152">
      <pivotArea type="data" outline="0" fieldPosition="0">
        <references count="5">
          <reference field="4294967294" count="1" selected="0">
            <x v="3"/>
          </reference>
          <reference field="19" count="1" selected="0">
            <x v="0"/>
          </reference>
          <reference field="20" count="1" selected="0">
            <x v="0"/>
          </reference>
          <reference field="21" count="1" selected="0">
            <x v="1"/>
          </reference>
          <reference field="22" count="1" selected="0">
            <x v="2"/>
          </reference>
        </references>
      </pivotArea>
    </chartFormat>
    <chartFormat chart="3" format="153">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2"/>
          </reference>
        </references>
      </pivotArea>
    </chartFormat>
    <chartFormat chart="3" format="154">
      <pivotArea type="data" outline="0" fieldPosition="0">
        <references count="5">
          <reference field="4294967294" count="1" selected="0">
            <x v="3"/>
          </reference>
          <reference field="19" count="1" selected="0">
            <x v="0"/>
          </reference>
          <reference field="20" count="1" selected="0">
            <x v="1"/>
          </reference>
          <reference field="21" count="1" selected="0">
            <x v="0"/>
          </reference>
          <reference field="22" count="1" selected="0">
            <x v="2"/>
          </reference>
        </references>
      </pivotArea>
    </chartFormat>
    <chartFormat chart="3" format="155">
      <pivotArea type="data" outline="0" fieldPosition="0">
        <references count="5">
          <reference field="4294967294" count="1" selected="0">
            <x v="3"/>
          </reference>
          <reference field="19" count="1" selected="0">
            <x v="2"/>
          </reference>
          <reference field="20" count="1" selected="0">
            <x v="1"/>
          </reference>
          <reference field="21" count="1" selected="0">
            <x v="1"/>
          </reference>
          <reference field="22" count="1" selected="0">
            <x v="2"/>
          </reference>
        </references>
      </pivotArea>
    </chartFormat>
    <chartFormat chart="0" format="76">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0"/>
          </reference>
        </references>
      </pivotArea>
    </chartFormat>
    <chartFormat chart="0" format="77">
      <pivotArea type="data" outline="0" fieldPosition="0">
        <references count="5">
          <reference field="4294967294" count="1" selected="0">
            <x v="0"/>
          </reference>
          <reference field="19" count="1" selected="0">
            <x v="0"/>
          </reference>
          <reference field="20" count="1" selected="0">
            <x v="0"/>
          </reference>
          <reference field="21" count="1" selected="0">
            <x v="1"/>
          </reference>
          <reference field="22" count="1" selected="0">
            <x v="0"/>
          </reference>
        </references>
      </pivotArea>
    </chartFormat>
    <chartFormat chart="0" format="78">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0"/>
          </reference>
        </references>
      </pivotArea>
    </chartFormat>
    <chartFormat chart="0" format="79">
      <pivotArea type="data" outline="0" fieldPosition="0">
        <references count="5">
          <reference field="4294967294" count="1" selected="0">
            <x v="0"/>
          </reference>
          <reference field="19" count="1" selected="0">
            <x v="0"/>
          </reference>
          <reference field="20" count="1" selected="0">
            <x v="1"/>
          </reference>
          <reference field="21" count="1" selected="0">
            <x v="0"/>
          </reference>
          <reference field="22" count="1" selected="0">
            <x v="0"/>
          </reference>
        </references>
      </pivotArea>
    </chartFormat>
    <chartFormat chart="0" format="80">
      <pivotArea type="data" outline="0" fieldPosition="0">
        <references count="5">
          <reference field="4294967294" count="1" selected="0">
            <x v="0"/>
          </reference>
          <reference field="19" count="1" selected="0">
            <x v="1"/>
          </reference>
          <reference field="20" count="1" selected="0">
            <x v="1"/>
          </reference>
          <reference field="21" count="1" selected="0">
            <x v="0"/>
          </reference>
          <reference field="22" count="1" selected="0">
            <x v="0"/>
          </reference>
        </references>
      </pivotArea>
    </chartFormat>
    <chartFormat chart="0" format="81">
      <pivotArea type="data" outline="0" fieldPosition="0">
        <references count="5">
          <reference field="4294967294" count="1" selected="0">
            <x v="0"/>
          </reference>
          <reference field="19" count="1" selected="0">
            <x v="0"/>
          </reference>
          <reference field="20" count="1" selected="0">
            <x v="1"/>
          </reference>
          <reference field="21" count="1" selected="0">
            <x v="1"/>
          </reference>
          <reference field="22" count="1" selected="0">
            <x v="0"/>
          </reference>
        </references>
      </pivotArea>
    </chartFormat>
    <chartFormat chart="0" format="82">
      <pivotArea type="data" outline="0" fieldPosition="0">
        <references count="5">
          <reference field="4294967294" count="1" selected="0">
            <x v="0"/>
          </reference>
          <reference field="19" count="1" selected="0">
            <x v="0"/>
          </reference>
          <reference field="20" count="1" selected="0">
            <x v="2"/>
          </reference>
          <reference field="21" count="1" selected="0">
            <x v="0"/>
          </reference>
          <reference field="22" count="1" selected="0">
            <x v="0"/>
          </reference>
        </references>
      </pivotArea>
    </chartFormat>
    <chartFormat chart="0" format="83">
      <pivotArea type="data" outline="0" fieldPosition="0">
        <references count="5">
          <reference field="4294967294" count="1" selected="0">
            <x v="0"/>
          </reference>
          <reference field="19" count="1" selected="0">
            <x v="0"/>
          </reference>
          <reference field="20" count="1" selected="0">
            <x v="2"/>
          </reference>
          <reference field="21" count="1" selected="0">
            <x v="1"/>
          </reference>
          <reference field="22" count="1" selected="0">
            <x v="0"/>
          </reference>
        </references>
      </pivotArea>
    </chartFormat>
    <chartFormat chart="0" format="84">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1"/>
          </reference>
        </references>
      </pivotArea>
    </chartFormat>
    <chartFormat chart="0" format="85">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1"/>
          </reference>
        </references>
      </pivotArea>
    </chartFormat>
    <chartFormat chart="0" format="86">
      <pivotArea type="data" outline="0" fieldPosition="0">
        <references count="5">
          <reference field="4294967294" count="1" selected="0">
            <x v="0"/>
          </reference>
          <reference field="19" count="1" selected="0">
            <x v="1"/>
          </reference>
          <reference field="20" count="1" selected="0">
            <x v="1"/>
          </reference>
          <reference field="21" count="1" selected="0">
            <x v="2"/>
          </reference>
          <reference field="22" count="1" selected="0">
            <x v="1"/>
          </reference>
        </references>
      </pivotArea>
    </chartFormat>
    <chartFormat chart="0" format="87">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2"/>
          </reference>
        </references>
      </pivotArea>
    </chartFormat>
    <chartFormat chart="0" format="88">
      <pivotArea type="data" outline="0" fieldPosition="0">
        <references count="5">
          <reference field="4294967294" count="1" selected="0">
            <x v="0"/>
          </reference>
          <reference field="19" count="1" selected="0">
            <x v="1"/>
          </reference>
          <reference field="20" count="1" selected="0">
            <x v="0"/>
          </reference>
          <reference field="21" count="1" selected="0">
            <x v="0"/>
          </reference>
          <reference field="22" count="1" selected="0">
            <x v="2"/>
          </reference>
        </references>
      </pivotArea>
    </chartFormat>
    <chartFormat chart="0" format="89">
      <pivotArea type="data" outline="0" fieldPosition="0">
        <references count="5">
          <reference field="4294967294" count="1" selected="0">
            <x v="0"/>
          </reference>
          <reference field="19" count="1" selected="0">
            <x v="2"/>
          </reference>
          <reference field="20" count="1" selected="0">
            <x v="0"/>
          </reference>
          <reference field="21" count="1" selected="0">
            <x v="0"/>
          </reference>
          <reference field="22" count="1" selected="0">
            <x v="2"/>
          </reference>
        </references>
      </pivotArea>
    </chartFormat>
    <chartFormat chart="0" format="90">
      <pivotArea type="data" outline="0" fieldPosition="0">
        <references count="5">
          <reference field="4294967294" count="1" selected="0">
            <x v="0"/>
          </reference>
          <reference field="19" count="1" selected="0">
            <x v="0"/>
          </reference>
          <reference field="20" count="1" selected="0">
            <x v="0"/>
          </reference>
          <reference field="21" count="1" selected="0">
            <x v="1"/>
          </reference>
          <reference field="22" count="1" selected="0">
            <x v="2"/>
          </reference>
        </references>
      </pivotArea>
    </chartFormat>
    <chartFormat chart="0" format="91">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2"/>
          </reference>
        </references>
      </pivotArea>
    </chartFormat>
    <chartFormat chart="0" format="92">
      <pivotArea type="data" outline="0" fieldPosition="0">
        <references count="5">
          <reference field="4294967294" count="1" selected="0">
            <x v="0"/>
          </reference>
          <reference field="19" count="1" selected="0">
            <x v="0"/>
          </reference>
          <reference field="20" count="1" selected="0">
            <x v="1"/>
          </reference>
          <reference field="21" count="1" selected="0">
            <x v="0"/>
          </reference>
          <reference field="22" count="1" selected="0">
            <x v="2"/>
          </reference>
        </references>
      </pivotArea>
    </chartFormat>
    <chartFormat chart="0" format="93">
      <pivotArea type="data" outline="0" fieldPosition="0">
        <references count="5">
          <reference field="4294967294" count="1" selected="0">
            <x v="0"/>
          </reference>
          <reference field="19" count="1" selected="0">
            <x v="2"/>
          </reference>
          <reference field="20" count="1" selected="0">
            <x v="1"/>
          </reference>
          <reference field="21" count="1" selected="0">
            <x v="1"/>
          </reference>
          <reference field="22" count="1" selected="0">
            <x v="2"/>
          </reference>
        </references>
      </pivotArea>
    </chartFormat>
    <chartFormat chart="0" format="94">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0"/>
          </reference>
        </references>
      </pivotArea>
    </chartFormat>
    <chartFormat chart="0" format="95">
      <pivotArea type="data" outline="0" fieldPosition="0">
        <references count="5">
          <reference field="4294967294" count="1" selected="0">
            <x v="1"/>
          </reference>
          <reference field="19" count="1" selected="0">
            <x v="0"/>
          </reference>
          <reference field="20" count="1" selected="0">
            <x v="0"/>
          </reference>
          <reference field="21" count="1" selected="0">
            <x v="1"/>
          </reference>
          <reference field="22" count="1" selected="0">
            <x v="0"/>
          </reference>
        </references>
      </pivotArea>
    </chartFormat>
    <chartFormat chart="0" format="96">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0"/>
          </reference>
        </references>
      </pivotArea>
    </chartFormat>
    <chartFormat chart="0" format="97">
      <pivotArea type="data" outline="0" fieldPosition="0">
        <references count="5">
          <reference field="4294967294" count="1" selected="0">
            <x v="1"/>
          </reference>
          <reference field="19" count="1" selected="0">
            <x v="0"/>
          </reference>
          <reference field="20" count="1" selected="0">
            <x v="1"/>
          </reference>
          <reference field="21" count="1" selected="0">
            <x v="0"/>
          </reference>
          <reference field="22" count="1" selected="0">
            <x v="0"/>
          </reference>
        </references>
      </pivotArea>
    </chartFormat>
    <chartFormat chart="0" format="98">
      <pivotArea type="data" outline="0" fieldPosition="0">
        <references count="5">
          <reference field="4294967294" count="1" selected="0">
            <x v="1"/>
          </reference>
          <reference field="19" count="1" selected="0">
            <x v="1"/>
          </reference>
          <reference field="20" count="1" selected="0">
            <x v="1"/>
          </reference>
          <reference field="21" count="1" selected="0">
            <x v="0"/>
          </reference>
          <reference field="22" count="1" selected="0">
            <x v="0"/>
          </reference>
        </references>
      </pivotArea>
    </chartFormat>
    <chartFormat chart="0" format="99">
      <pivotArea type="data" outline="0" fieldPosition="0">
        <references count="5">
          <reference field="4294967294" count="1" selected="0">
            <x v="1"/>
          </reference>
          <reference field="19" count="1" selected="0">
            <x v="0"/>
          </reference>
          <reference field="20" count="1" selected="0">
            <x v="1"/>
          </reference>
          <reference field="21" count="1" selected="0">
            <x v="1"/>
          </reference>
          <reference field="22" count="1" selected="0">
            <x v="0"/>
          </reference>
        </references>
      </pivotArea>
    </chartFormat>
    <chartFormat chart="0" format="100">
      <pivotArea type="data" outline="0" fieldPosition="0">
        <references count="5">
          <reference field="4294967294" count="1" selected="0">
            <x v="1"/>
          </reference>
          <reference field="19" count="1" selected="0">
            <x v="0"/>
          </reference>
          <reference field="20" count="1" selected="0">
            <x v="2"/>
          </reference>
          <reference field="21" count="1" selected="0">
            <x v="0"/>
          </reference>
          <reference field="22" count="1" selected="0">
            <x v="0"/>
          </reference>
        </references>
      </pivotArea>
    </chartFormat>
    <chartFormat chart="0" format="101">
      <pivotArea type="data" outline="0" fieldPosition="0">
        <references count="5">
          <reference field="4294967294" count="1" selected="0">
            <x v="1"/>
          </reference>
          <reference field="19" count="1" selected="0">
            <x v="0"/>
          </reference>
          <reference field="20" count="1" selected="0">
            <x v="2"/>
          </reference>
          <reference field="21" count="1" selected="0">
            <x v="1"/>
          </reference>
          <reference field="22" count="1" selected="0">
            <x v="0"/>
          </reference>
        </references>
      </pivotArea>
    </chartFormat>
    <chartFormat chart="0" format="102">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1"/>
          </reference>
        </references>
      </pivotArea>
    </chartFormat>
    <chartFormat chart="0" format="103">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1"/>
          </reference>
        </references>
      </pivotArea>
    </chartFormat>
    <chartFormat chart="0" format="104">
      <pivotArea type="data" outline="0" fieldPosition="0">
        <references count="5">
          <reference field="4294967294" count="1" selected="0">
            <x v="1"/>
          </reference>
          <reference field="19" count="1" selected="0">
            <x v="1"/>
          </reference>
          <reference field="20" count="1" selected="0">
            <x v="1"/>
          </reference>
          <reference field="21" count="1" selected="0">
            <x v="2"/>
          </reference>
          <reference field="22" count="1" selected="0">
            <x v="1"/>
          </reference>
        </references>
      </pivotArea>
    </chartFormat>
    <chartFormat chart="0" format="105">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2"/>
          </reference>
        </references>
      </pivotArea>
    </chartFormat>
    <chartFormat chart="0" format="106">
      <pivotArea type="data" outline="0" fieldPosition="0">
        <references count="5">
          <reference field="4294967294" count="1" selected="0">
            <x v="1"/>
          </reference>
          <reference field="19" count="1" selected="0">
            <x v="1"/>
          </reference>
          <reference field="20" count="1" selected="0">
            <x v="0"/>
          </reference>
          <reference field="21" count="1" selected="0">
            <x v="0"/>
          </reference>
          <reference field="22" count="1" selected="0">
            <x v="2"/>
          </reference>
        </references>
      </pivotArea>
    </chartFormat>
    <chartFormat chart="0" format="107">
      <pivotArea type="data" outline="0" fieldPosition="0">
        <references count="5">
          <reference field="4294967294" count="1" selected="0">
            <x v="1"/>
          </reference>
          <reference field="19" count="1" selected="0">
            <x v="2"/>
          </reference>
          <reference field="20" count="1" selected="0">
            <x v="0"/>
          </reference>
          <reference field="21" count="1" selected="0">
            <x v="0"/>
          </reference>
          <reference field="22" count="1" selected="0">
            <x v="2"/>
          </reference>
        </references>
      </pivotArea>
    </chartFormat>
    <chartFormat chart="0" format="108">
      <pivotArea type="data" outline="0" fieldPosition="0">
        <references count="5">
          <reference field="4294967294" count="1" selected="0">
            <x v="1"/>
          </reference>
          <reference field="19" count="1" selected="0">
            <x v="0"/>
          </reference>
          <reference field="20" count="1" selected="0">
            <x v="0"/>
          </reference>
          <reference field="21" count="1" selected="0">
            <x v="1"/>
          </reference>
          <reference field="22" count="1" selected="0">
            <x v="2"/>
          </reference>
        </references>
      </pivotArea>
    </chartFormat>
    <chartFormat chart="0" format="109">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2"/>
          </reference>
        </references>
      </pivotArea>
    </chartFormat>
    <chartFormat chart="0" format="110">
      <pivotArea type="data" outline="0" fieldPosition="0">
        <references count="5">
          <reference field="4294967294" count="1" selected="0">
            <x v="1"/>
          </reference>
          <reference field="19" count="1" selected="0">
            <x v="0"/>
          </reference>
          <reference field="20" count="1" selected="0">
            <x v="1"/>
          </reference>
          <reference field="21" count="1" selected="0">
            <x v="0"/>
          </reference>
          <reference field="22" count="1" selected="0">
            <x v="2"/>
          </reference>
        </references>
      </pivotArea>
    </chartFormat>
    <chartFormat chart="0" format="111">
      <pivotArea type="data" outline="0" fieldPosition="0">
        <references count="5">
          <reference field="4294967294" count="1" selected="0">
            <x v="1"/>
          </reference>
          <reference field="19" count="1" selected="0">
            <x v="2"/>
          </reference>
          <reference field="20" count="1" selected="0">
            <x v="1"/>
          </reference>
          <reference field="21" count="1" selected="0">
            <x v="1"/>
          </reference>
          <reference field="22" count="1" selected="0">
            <x v="2"/>
          </reference>
        </references>
      </pivotArea>
    </chartFormat>
    <chartFormat chart="0" format="112">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0"/>
          </reference>
        </references>
      </pivotArea>
    </chartFormat>
    <chartFormat chart="0" format="113">
      <pivotArea type="data" outline="0" fieldPosition="0">
        <references count="5">
          <reference field="4294967294" count="1" selected="0">
            <x v="2"/>
          </reference>
          <reference field="19" count="1" selected="0">
            <x v="0"/>
          </reference>
          <reference field="20" count="1" selected="0">
            <x v="0"/>
          </reference>
          <reference field="21" count="1" selected="0">
            <x v="1"/>
          </reference>
          <reference field="22" count="1" selected="0">
            <x v="0"/>
          </reference>
        </references>
      </pivotArea>
    </chartFormat>
    <chartFormat chart="0" format="114">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0"/>
          </reference>
        </references>
      </pivotArea>
    </chartFormat>
    <chartFormat chart="0" format="115">
      <pivotArea type="data" outline="0" fieldPosition="0">
        <references count="5">
          <reference field="4294967294" count="1" selected="0">
            <x v="2"/>
          </reference>
          <reference field="19" count="1" selected="0">
            <x v="0"/>
          </reference>
          <reference field="20" count="1" selected="0">
            <x v="1"/>
          </reference>
          <reference field="21" count="1" selected="0">
            <x v="0"/>
          </reference>
          <reference field="22" count="1" selected="0">
            <x v="0"/>
          </reference>
        </references>
      </pivotArea>
    </chartFormat>
    <chartFormat chart="0" format="116">
      <pivotArea type="data" outline="0" fieldPosition="0">
        <references count="5">
          <reference field="4294967294" count="1" selected="0">
            <x v="2"/>
          </reference>
          <reference field="19" count="1" selected="0">
            <x v="1"/>
          </reference>
          <reference field="20" count="1" selected="0">
            <x v="1"/>
          </reference>
          <reference field="21" count="1" selected="0">
            <x v="0"/>
          </reference>
          <reference field="22" count="1" selected="0">
            <x v="0"/>
          </reference>
        </references>
      </pivotArea>
    </chartFormat>
    <chartFormat chart="0" format="117">
      <pivotArea type="data" outline="0" fieldPosition="0">
        <references count="5">
          <reference field="4294967294" count="1" selected="0">
            <x v="2"/>
          </reference>
          <reference field="19" count="1" selected="0">
            <x v="0"/>
          </reference>
          <reference field="20" count="1" selected="0">
            <x v="1"/>
          </reference>
          <reference field="21" count="1" selected="0">
            <x v="1"/>
          </reference>
          <reference field="22" count="1" selected="0">
            <x v="0"/>
          </reference>
        </references>
      </pivotArea>
    </chartFormat>
    <chartFormat chart="0" format="118">
      <pivotArea type="data" outline="0" fieldPosition="0">
        <references count="5">
          <reference field="4294967294" count="1" selected="0">
            <x v="2"/>
          </reference>
          <reference field="19" count="1" selected="0">
            <x v="0"/>
          </reference>
          <reference field="20" count="1" selected="0">
            <x v="2"/>
          </reference>
          <reference field="21" count="1" selected="0">
            <x v="0"/>
          </reference>
          <reference field="22" count="1" selected="0">
            <x v="0"/>
          </reference>
        </references>
      </pivotArea>
    </chartFormat>
    <chartFormat chart="0" format="119">
      <pivotArea type="data" outline="0" fieldPosition="0">
        <references count="5">
          <reference field="4294967294" count="1" selected="0">
            <x v="2"/>
          </reference>
          <reference field="19" count="1" selected="0">
            <x v="0"/>
          </reference>
          <reference field="20" count="1" selected="0">
            <x v="2"/>
          </reference>
          <reference field="21" count="1" selected="0">
            <x v="1"/>
          </reference>
          <reference field="22" count="1" selected="0">
            <x v="0"/>
          </reference>
        </references>
      </pivotArea>
    </chartFormat>
    <chartFormat chart="0" format="120">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1"/>
          </reference>
        </references>
      </pivotArea>
    </chartFormat>
    <chartFormat chart="0" format="121">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1"/>
          </reference>
        </references>
      </pivotArea>
    </chartFormat>
    <chartFormat chart="0" format="122">
      <pivotArea type="data" outline="0" fieldPosition="0">
        <references count="5">
          <reference field="4294967294" count="1" selected="0">
            <x v="2"/>
          </reference>
          <reference field="19" count="1" selected="0">
            <x v="1"/>
          </reference>
          <reference field="20" count="1" selected="0">
            <x v="1"/>
          </reference>
          <reference field="21" count="1" selected="0">
            <x v="2"/>
          </reference>
          <reference field="22" count="1" selected="0">
            <x v="1"/>
          </reference>
        </references>
      </pivotArea>
    </chartFormat>
    <chartFormat chart="0" format="123">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2"/>
          </reference>
        </references>
      </pivotArea>
    </chartFormat>
    <chartFormat chart="0" format="124">
      <pivotArea type="data" outline="0" fieldPosition="0">
        <references count="5">
          <reference field="4294967294" count="1" selected="0">
            <x v="2"/>
          </reference>
          <reference field="19" count="1" selected="0">
            <x v="1"/>
          </reference>
          <reference field="20" count="1" selected="0">
            <x v="0"/>
          </reference>
          <reference field="21" count="1" selected="0">
            <x v="0"/>
          </reference>
          <reference field="22" count="1" selected="0">
            <x v="2"/>
          </reference>
        </references>
      </pivotArea>
    </chartFormat>
    <chartFormat chart="0" format="125">
      <pivotArea type="data" outline="0" fieldPosition="0">
        <references count="5">
          <reference field="4294967294" count="1" selected="0">
            <x v="2"/>
          </reference>
          <reference field="19" count="1" selected="0">
            <x v="2"/>
          </reference>
          <reference field="20" count="1" selected="0">
            <x v="0"/>
          </reference>
          <reference field="21" count="1" selected="0">
            <x v="0"/>
          </reference>
          <reference field="22" count="1" selected="0">
            <x v="2"/>
          </reference>
        </references>
      </pivotArea>
    </chartFormat>
    <chartFormat chart="0" format="126">
      <pivotArea type="data" outline="0" fieldPosition="0">
        <references count="5">
          <reference field="4294967294" count="1" selected="0">
            <x v="2"/>
          </reference>
          <reference field="19" count="1" selected="0">
            <x v="0"/>
          </reference>
          <reference field="20" count="1" selected="0">
            <x v="0"/>
          </reference>
          <reference field="21" count="1" selected="0">
            <x v="1"/>
          </reference>
          <reference field="22" count="1" selected="0">
            <x v="2"/>
          </reference>
        </references>
      </pivotArea>
    </chartFormat>
    <chartFormat chart="0" format="127">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2"/>
          </reference>
        </references>
      </pivotArea>
    </chartFormat>
    <chartFormat chart="0" format="128">
      <pivotArea type="data" outline="0" fieldPosition="0">
        <references count="5">
          <reference field="4294967294" count="1" selected="0">
            <x v="2"/>
          </reference>
          <reference field="19" count="1" selected="0">
            <x v="0"/>
          </reference>
          <reference field="20" count="1" selected="0">
            <x v="1"/>
          </reference>
          <reference field="21" count="1" selected="0">
            <x v="0"/>
          </reference>
          <reference field="22" count="1" selected="0">
            <x v="2"/>
          </reference>
        </references>
      </pivotArea>
    </chartFormat>
    <chartFormat chart="0" format="129">
      <pivotArea type="data" outline="0" fieldPosition="0">
        <references count="5">
          <reference field="4294967294" count="1" selected="0">
            <x v="2"/>
          </reference>
          <reference field="19" count="1" selected="0">
            <x v="2"/>
          </reference>
          <reference field="20" count="1" selected="0">
            <x v="1"/>
          </reference>
          <reference field="21" count="1" selected="0">
            <x v="1"/>
          </reference>
          <reference field="22" count="1" selected="0">
            <x v="2"/>
          </reference>
        </references>
      </pivotArea>
    </chartFormat>
    <chartFormat chart="0" format="130">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0"/>
          </reference>
        </references>
      </pivotArea>
    </chartFormat>
    <chartFormat chart="0" format="131">
      <pivotArea type="data" outline="0" fieldPosition="0">
        <references count="5">
          <reference field="4294967294" count="1" selected="0">
            <x v="3"/>
          </reference>
          <reference field="19" count="1" selected="0">
            <x v="0"/>
          </reference>
          <reference field="20" count="1" selected="0">
            <x v="0"/>
          </reference>
          <reference field="21" count="1" selected="0">
            <x v="1"/>
          </reference>
          <reference field="22" count="1" selected="0">
            <x v="0"/>
          </reference>
        </references>
      </pivotArea>
    </chartFormat>
    <chartFormat chart="0" format="132">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0"/>
          </reference>
        </references>
      </pivotArea>
    </chartFormat>
    <chartFormat chart="0" format="133">
      <pivotArea type="data" outline="0" fieldPosition="0">
        <references count="5">
          <reference field="4294967294" count="1" selected="0">
            <x v="3"/>
          </reference>
          <reference field="19" count="1" selected="0">
            <x v="0"/>
          </reference>
          <reference field="20" count="1" selected="0">
            <x v="1"/>
          </reference>
          <reference field="21" count="1" selected="0">
            <x v="0"/>
          </reference>
          <reference field="22" count="1" selected="0">
            <x v="0"/>
          </reference>
        </references>
      </pivotArea>
    </chartFormat>
    <chartFormat chart="0" format="134">
      <pivotArea type="data" outline="0" fieldPosition="0">
        <references count="5">
          <reference field="4294967294" count="1" selected="0">
            <x v="3"/>
          </reference>
          <reference field="19" count="1" selected="0">
            <x v="1"/>
          </reference>
          <reference field="20" count="1" selected="0">
            <x v="1"/>
          </reference>
          <reference field="21" count="1" selected="0">
            <x v="0"/>
          </reference>
          <reference field="22" count="1" selected="0">
            <x v="0"/>
          </reference>
        </references>
      </pivotArea>
    </chartFormat>
    <chartFormat chart="0" format="135">
      <pivotArea type="data" outline="0" fieldPosition="0">
        <references count="5">
          <reference field="4294967294" count="1" selected="0">
            <x v="3"/>
          </reference>
          <reference field="19" count="1" selected="0">
            <x v="0"/>
          </reference>
          <reference field="20" count="1" selected="0">
            <x v="1"/>
          </reference>
          <reference field="21" count="1" selected="0">
            <x v="1"/>
          </reference>
          <reference field="22" count="1" selected="0">
            <x v="0"/>
          </reference>
        </references>
      </pivotArea>
    </chartFormat>
    <chartFormat chart="0" format="136">
      <pivotArea type="data" outline="0" fieldPosition="0">
        <references count="5">
          <reference field="4294967294" count="1" selected="0">
            <x v="3"/>
          </reference>
          <reference field="19" count="1" selected="0">
            <x v="0"/>
          </reference>
          <reference field="20" count="1" selected="0">
            <x v="2"/>
          </reference>
          <reference field="21" count="1" selected="0">
            <x v="0"/>
          </reference>
          <reference field="22" count="1" selected="0">
            <x v="0"/>
          </reference>
        </references>
      </pivotArea>
    </chartFormat>
    <chartFormat chart="0" format="137">
      <pivotArea type="data" outline="0" fieldPosition="0">
        <references count="5">
          <reference field="4294967294" count="1" selected="0">
            <x v="3"/>
          </reference>
          <reference field="19" count="1" selected="0">
            <x v="0"/>
          </reference>
          <reference field="20" count="1" selected="0">
            <x v="2"/>
          </reference>
          <reference field="21" count="1" selected="0">
            <x v="1"/>
          </reference>
          <reference field="22" count="1" selected="0">
            <x v="0"/>
          </reference>
        </references>
      </pivotArea>
    </chartFormat>
    <chartFormat chart="0" format="138">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1"/>
          </reference>
        </references>
      </pivotArea>
    </chartFormat>
    <chartFormat chart="0" format="139">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1"/>
          </reference>
        </references>
      </pivotArea>
    </chartFormat>
    <chartFormat chart="0" format="140">
      <pivotArea type="data" outline="0" fieldPosition="0">
        <references count="5">
          <reference field="4294967294" count="1" selected="0">
            <x v="3"/>
          </reference>
          <reference field="19" count="1" selected="0">
            <x v="1"/>
          </reference>
          <reference field="20" count="1" selected="0">
            <x v="1"/>
          </reference>
          <reference field="21" count="1" selected="0">
            <x v="2"/>
          </reference>
          <reference field="22" count="1" selected="0">
            <x v="1"/>
          </reference>
        </references>
      </pivotArea>
    </chartFormat>
    <chartFormat chart="0" format="141">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2"/>
          </reference>
        </references>
      </pivotArea>
    </chartFormat>
    <chartFormat chart="0" format="142">
      <pivotArea type="data" outline="0" fieldPosition="0">
        <references count="5">
          <reference field="4294967294" count="1" selected="0">
            <x v="3"/>
          </reference>
          <reference field="19" count="1" selected="0">
            <x v="1"/>
          </reference>
          <reference field="20" count="1" selected="0">
            <x v="0"/>
          </reference>
          <reference field="21" count="1" selected="0">
            <x v="0"/>
          </reference>
          <reference field="22" count="1" selected="0">
            <x v="2"/>
          </reference>
        </references>
      </pivotArea>
    </chartFormat>
    <chartFormat chart="0" format="143">
      <pivotArea type="data" outline="0" fieldPosition="0">
        <references count="5">
          <reference field="4294967294" count="1" selected="0">
            <x v="3"/>
          </reference>
          <reference field="19" count="1" selected="0">
            <x v="2"/>
          </reference>
          <reference field="20" count="1" selected="0">
            <x v="0"/>
          </reference>
          <reference field="21" count="1" selected="0">
            <x v="0"/>
          </reference>
          <reference field="22" count="1" selected="0">
            <x v="2"/>
          </reference>
        </references>
      </pivotArea>
    </chartFormat>
    <chartFormat chart="0" format="144">
      <pivotArea type="data" outline="0" fieldPosition="0">
        <references count="5">
          <reference field="4294967294" count="1" selected="0">
            <x v="3"/>
          </reference>
          <reference field="19" count="1" selected="0">
            <x v="0"/>
          </reference>
          <reference field="20" count="1" selected="0">
            <x v="0"/>
          </reference>
          <reference field="21" count="1" selected="0">
            <x v="1"/>
          </reference>
          <reference field="22" count="1" selected="0">
            <x v="2"/>
          </reference>
        </references>
      </pivotArea>
    </chartFormat>
    <chartFormat chart="0" format="145">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2"/>
          </reference>
        </references>
      </pivotArea>
    </chartFormat>
    <chartFormat chart="0" format="146">
      <pivotArea type="data" outline="0" fieldPosition="0">
        <references count="5">
          <reference field="4294967294" count="1" selected="0">
            <x v="3"/>
          </reference>
          <reference field="19" count="1" selected="0">
            <x v="0"/>
          </reference>
          <reference field="20" count="1" selected="0">
            <x v="1"/>
          </reference>
          <reference field="21" count="1" selected="0">
            <x v="0"/>
          </reference>
          <reference field="22" count="1" selected="0">
            <x v="2"/>
          </reference>
        </references>
      </pivotArea>
    </chartFormat>
    <chartFormat chart="0" format="147">
      <pivotArea type="data" outline="0" fieldPosition="0">
        <references count="5">
          <reference field="4294967294" count="1" selected="0">
            <x v="3"/>
          </reference>
          <reference field="19" count="1" selected="0">
            <x v="2"/>
          </reference>
          <reference field="20" count="1" selected="0">
            <x v="1"/>
          </reference>
          <reference field="21" count="1" selected="0">
            <x v="1"/>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5144C-DAD0-4048-8011-A5E2EFD9CC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What are your savings objectives?" fld="1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497A2-E328-4F42-8717-062569956B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3"/>
        <item x="0"/>
        <item x="2"/>
        <item t="default"/>
      </items>
    </pivotField>
  </pivotFields>
  <rowFields count="1">
    <field x="23"/>
  </rowFields>
  <rowItems count="5">
    <i>
      <x/>
    </i>
    <i>
      <x v="1"/>
    </i>
    <i>
      <x v="2"/>
    </i>
    <i>
      <x v="3"/>
    </i>
    <i t="grand">
      <x/>
    </i>
  </rowItems>
  <colItems count="1">
    <i/>
  </colItems>
  <dataFields count="1">
    <dataField name="Count of Source" fld="2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1FEEB-BC1E-4E69-83E1-4F8DE5746B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3"/>
        <item x="1"/>
        <item t="default"/>
      </items>
    </pivotField>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Duration" fld="1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993865-C2A8-4CEC-9A14-180E1571EF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Expect" fld="1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27E99D-ACC8-46AB-A31C-E8792DF29E2C}" autoFormatId="16" applyNumberFormats="0" applyBorderFormats="0" applyFontFormats="0" applyPatternFormats="0" applyAlignmentFormats="0" applyWidthHeightFormats="0">
  <queryTableRefresh nextId="28">
    <queryTableFields count="25">
      <queryTableField id="1" name="gender" tableColumnId="1"/>
      <queryTableField id="2" name="age" tableColumnId="2"/>
      <queryTableField id="3" name="Investment_Avenues" tableColumnId="3"/>
      <queryTableField id="4" name="Mutual_Funds" tableColumnId="4"/>
      <queryTableField id="5" name="Equity_Market" tableColumnId="5"/>
      <queryTableField id="6" name="Debentures" tableColumnId="6"/>
      <queryTableField id="7" name="Government_Bonds" tableColumnId="7"/>
      <queryTableField id="8" name="Fixed_Deposits" tableColumnId="8"/>
      <queryTableField id="9" name="PPF" tableColumnId="9"/>
      <queryTableField id="10" name="Gold" tableColumnId="10"/>
      <queryTableField id="11" name="Stock_Marktet" tableColumnId="11"/>
      <queryTableField id="12" name="Factor" tableColumnId="12"/>
      <queryTableField id="13" name="Objective" tableColumnId="13"/>
      <queryTableField id="14" name="Purpose" tableColumnId="14"/>
      <queryTableField id="15" name="Duration" tableColumnId="15"/>
      <queryTableField id="27" dataBound="0" tableColumnId="27"/>
      <queryTableField id="16" name="Invest_Monitor" tableColumnId="16"/>
      <queryTableField id="17" name="Expect" tableColumnId="17"/>
      <queryTableField id="18" name="Avenue" tableColumnId="18"/>
      <queryTableField id="19" name="What are your savings objectives?" tableColumnId="19"/>
      <queryTableField id="20" name="Reason_Equity" tableColumnId="20"/>
      <queryTableField id="21" name="Reason_Mutual" tableColumnId="21"/>
      <queryTableField id="22" name="Reason_Bonds" tableColumnId="22"/>
      <queryTableField id="23" name="Reason_FD" tableColumnId="23"/>
      <queryTableField id="24" name="Sourc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4599DA-C2D9-4287-9B31-F324179387E2}" sourceName="gender">
  <pivotTables>
    <pivotTable tabId="3" name="PivotTable1"/>
  </pivotTables>
  <data>
    <tabular pivotCacheId="12324782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nue" xr10:uid="{FA8BC50A-6818-4F75-B8C4-3FCE5CB72A0D}" sourceName="Avenue">
  <pivotTables>
    <pivotTable tabId="4" name="PivotTable2"/>
  </pivotTables>
  <data>
    <tabular pivotCacheId="1232478240">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Equity" xr10:uid="{CDDDC101-4CD8-45D8-898F-B51D20BC552F}" sourceName="Reason_Equity">
  <pivotTables>
    <pivotTable tabId="5" name="PivotTable3"/>
  </pivotTables>
  <data>
    <tabular pivotCacheId="123247824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Mutual" xr10:uid="{1F896646-5734-4745-BBA2-8FBCB97D6AEE}" sourceName="Reason_Mutual">
  <pivotTables>
    <pivotTable tabId="5" name="PivotTable3"/>
  </pivotTables>
  <data>
    <tabular pivotCacheId="123247824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Bonds" xr10:uid="{6D09F846-2553-40F4-A86A-3CE0974CA0F4}" sourceName="Reason_Bonds">
  <pivotTables>
    <pivotTable tabId="5" name="PivotTable3"/>
  </pivotTables>
  <data>
    <tabular pivotCacheId="1232478240">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D" xr10:uid="{82D6EE57-88BB-4C20-8BE7-475C4B49AC63}" sourceName="Reason_FD">
  <pivotTables>
    <pivotTable tabId="5" name="PivotTable3"/>
  </pivotTables>
  <data>
    <tabular pivotCacheId="1232478240">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are_your_savings_objectives?" xr10:uid="{30A5ACEA-2AB6-4E13-98B9-2041C5C76B8E}" sourceName="What are your savings objectives?">
  <pivotTables>
    <pivotTable tabId="6" name="PivotTable4"/>
  </pivotTables>
  <data>
    <tabular pivotCacheId="1232478240">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F6328C97-4078-4BD2-8056-D1BFD72EDA73}" sourceName="Source">
  <pivotTables>
    <pivotTable tabId="7" name="PivotTable5"/>
  </pivotTables>
  <data>
    <tabular pivotCacheId="1232478240">
      <items count="4">
        <i x="1" s="1"/>
        <i x="3"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BE53E8C8-A8DC-4A0F-88EF-E81E6CA81921}" sourceName="Duration">
  <pivotTables>
    <pivotTable tabId="8" name="PivotTable6"/>
  </pivotTables>
  <data>
    <tabular pivotCacheId="1232478240">
      <items count="4">
        <i x="0" s="1"/>
        <i x="2" s="1"/>
        <i x="3"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 xr10:uid="{2FC61397-9E45-4C79-9A4A-5625F1FF2908}" sourceName="Expect">
  <pivotTables>
    <pivotTable tabId="9" name="PivotTable7"/>
  </pivotTables>
  <data>
    <tabular pivotCacheId="12324782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830A134-5B43-4A62-9562-F7041AB18FC7}" cache="Slicer_gender" caption="GENDER"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enue" xr10:uid="{ABCA747D-16A9-4265-B4BF-A9B3AE267607}" cache="Slicer_Avenue" caption="Avenu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Equity" xr10:uid="{20BD240E-24E0-463D-8623-9E3FEC2669F2}" cache="Slicer_Reason_Equity" caption="Reason_Equity" style="SlicerStyleLight6" rowHeight="241300"/>
  <slicer name="Reason_Mutual" xr10:uid="{60822A6A-9235-4D2B-9BA9-F31183F2C6DD}" cache="Slicer_Reason_Mutual" caption="Reason_Mutual" style="SlicerStyleLight6" rowHeight="241300"/>
  <slicer name="Reason_Bonds" xr10:uid="{23859ECC-B5F2-4BC5-ABED-3064EFE92473}" cache="Slicer_Reason_Bonds" caption="Reason_Bonds" startItem="1" style="SlicerStyleLight6" rowHeight="241300"/>
  <slicer name="Reason_FD" xr10:uid="{814C9D14-B439-415F-A05E-379AFA9D40A0}" cache="Slicer_Reason_FD" caption="Reason_FD" startItem="1"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are your savings objectives?" xr10:uid="{B46A9B9C-164F-481B-A2CF-DCE9EF71C9FD}" cache="Slicer_What_are_your_savings_objectives?" caption="What are your savings objectives?"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1A2DDE81-591E-4B8D-85BE-3E8D8F7048A7}" cache="Slicer_Source" caption="Source" style="SlicerStyleLight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xr10:uid="{AF599DE2-BCC1-4DB6-B5FE-AFAA0486A19D}" cache="Slicer_Duration" caption="Duration" style="SlicerStyleLight6"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ct" xr10:uid="{788E739E-6E14-4569-AD0B-2F4F5492CFCE}" cache="Slicer_Expect" caption="Expect" style="SlicerStyleLight6"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B385FBC-7854-482B-92D6-27C8BCA9DF2C}" cache="Slicer_gender" caption="GENDER" style="SlicerStyleLight6" rowHeight="241300"/>
  <slicer name="Avenue 1" xr10:uid="{F520A328-5FF3-4194-9AF2-9B66773C5FC8}" cache="Slicer_Avenue" caption="Avenue" style="SlicerStyleLight6" rowHeight="241300"/>
  <slicer name="Reason_Equity 1" xr10:uid="{F5C36C36-3C12-4FEA-9D06-CAADDBB2395C}" cache="Slicer_Reason_Equity" caption="Reason_Equity" style="SlicerStyleLight6" rowHeight="241300"/>
  <slicer name="Reason_Mutual 1" xr10:uid="{9E2E0BF0-75FA-4008-9A43-D651ED9E1E93}" cache="Slicer_Reason_Mutual" caption="Reason_Mutual" style="SlicerStyleLight6" rowHeight="241300"/>
  <slicer name="Reason_Bonds 1" xr10:uid="{75DC445F-5493-4FB8-9657-ACC507FBE1C1}" cache="Slicer_Reason_Bonds" caption="Reason_Bonds" style="SlicerStyleLight6" rowHeight="241300"/>
  <slicer name="Reason_FD 1" xr10:uid="{50B2150C-C222-42F5-AAB0-6782B2C1064D}" cache="Slicer_Reason_FD" caption="Reason_FD" style="SlicerStyleLight6" rowHeight="241300"/>
  <slicer name="What are your savings objectives? 1" xr10:uid="{4AF77E61-28F2-4CE9-A103-C00E2F53C9EE}" cache="Slicer_What_are_your_savings_objectives?" caption="What are your savings objectives?" style="SlicerStyleLight6" rowHeight="241300"/>
  <slicer name="Duration 1" xr10:uid="{CB9BE8C0-ECE3-473E-96BA-5ADEC4D4C208}" cache="Slicer_Duration" caption="Duration"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18B16E-22C5-47F0-9CC5-91BB6F5114A9}" name="Data_set_2___Copy" displayName="Data_set_2___Copy" ref="A1:Y41" tableType="queryTable" totalsRowShown="0" headerRowDxfId="28" dataDxfId="27">
  <autoFilter ref="A1:Y41" xr:uid="{3118B16E-22C5-47F0-9CC5-91BB6F5114A9}"/>
  <tableColumns count="25">
    <tableColumn id="1" xr3:uid="{67A9A17A-71EC-4A3D-85E9-9D994F097821}" uniqueName="1" name="GENDER" queryTableFieldId="1" dataDxfId="26"/>
    <tableColumn id="2" xr3:uid="{A873FC47-AE89-48AB-9EE2-FEB539FE8D32}" uniqueName="2" name="AGE" queryTableFieldId="2" dataDxfId="25"/>
    <tableColumn id="3" xr3:uid="{09955A37-32D5-4314-BCC6-17A67F8FCE8E}" uniqueName="3" name="Investment_Avenues" queryTableFieldId="3" dataDxfId="24"/>
    <tableColumn id="4" xr3:uid="{B3800DC5-A7C9-4E08-A987-C6BDE218D8D9}" uniqueName="4" name="Mutual_Funds" queryTableFieldId="4" dataDxfId="23"/>
    <tableColumn id="5" xr3:uid="{47ACF0F6-5D4C-4A21-AC99-04B1535DEECA}" uniqueName="5" name="Equity_Market" queryTableFieldId="5" dataDxfId="22"/>
    <tableColumn id="6" xr3:uid="{DFB44E40-4016-43CB-850A-1ED21823742D}" uniqueName="6" name="Debentures" queryTableFieldId="6" dataDxfId="21"/>
    <tableColumn id="7" xr3:uid="{512D9621-AE55-4985-9040-6DEFDC988D0A}" uniqueName="7" name="Government_Bonds" queryTableFieldId="7" dataDxfId="20"/>
    <tableColumn id="8" xr3:uid="{6158EAB2-72B0-4CE2-B5CE-1396B7C39DC5}" uniqueName="8" name="Fixed_Deposits" queryTableFieldId="8" dataDxfId="19"/>
    <tableColumn id="9" xr3:uid="{90685F76-3CC7-4E14-8CF9-9B4DF060314A}" uniqueName="9" name="PPF" queryTableFieldId="9" dataDxfId="18"/>
    <tableColumn id="10" xr3:uid="{33271057-2269-4061-B6DC-1216270082AC}" uniqueName="10" name="Gold" queryTableFieldId="10" dataDxfId="17"/>
    <tableColumn id="11" xr3:uid="{CBC964AD-6668-4F6C-898C-958BDC89348A}" uniqueName="11" name="Stock_Marktet" queryTableFieldId="11" dataDxfId="16"/>
    <tableColumn id="12" xr3:uid="{3E420DF8-4702-4859-8CB6-361703D931EE}" uniqueName="12" name="Factor" queryTableFieldId="12" dataDxfId="15"/>
    <tableColumn id="13" xr3:uid="{5773D17F-D376-4A5B-A5A9-88C41D28D6CC}" uniqueName="13" name="Objective" queryTableFieldId="13" dataDxfId="14"/>
    <tableColumn id="14" xr3:uid="{8C26CAF2-BDBE-441B-9881-BBB213AD0867}" uniqueName="14" name="Purpose" queryTableFieldId="14" dataDxfId="13"/>
    <tableColumn id="15" xr3:uid="{CE442E97-5D88-42C4-B5FE-EEBF3BAB5604}" uniqueName="15" name="Duration" queryTableFieldId="15" dataDxfId="12"/>
    <tableColumn id="27" xr3:uid="{4CDC8D75-FF24-4866-B465-37B6B1D92CED}" uniqueName="27" name="Duration Flag" queryTableFieldId="27" dataDxfId="11">
      <calculatedColumnFormula>CHOOSE(MATCH(O2,{"Less than 1 year","1-3 years","3-5 years","More than 5 years"},0),1,2,3,4)</calculatedColumnFormula>
    </tableColumn>
    <tableColumn id="16" xr3:uid="{250FBB67-543D-475D-A7E0-BA36963DF872}" uniqueName="16" name="Invest_Monitor" queryTableFieldId="16" dataDxfId="10"/>
    <tableColumn id="17" xr3:uid="{A59F233E-E160-40FA-8536-A95BE6E6082C}" uniqueName="17" name="Expect" queryTableFieldId="17" dataDxfId="9"/>
    <tableColumn id="18" xr3:uid="{36935D0F-DCF8-4635-8AC1-CB5A432307C9}" uniqueName="18" name="Avenue" queryTableFieldId="18" dataDxfId="8"/>
    <tableColumn id="19" xr3:uid="{ECEB4C12-04E5-4EBC-A629-BF9D98525843}" uniqueName="19" name="What are your savings objectives?" queryTableFieldId="19" dataDxfId="7"/>
    <tableColumn id="20" xr3:uid="{3858FA46-CCE7-4908-BA3A-11A8DCFABE5B}" uniqueName="20" name="Reason_Equity" queryTableFieldId="20" dataDxfId="6"/>
    <tableColumn id="21" xr3:uid="{D6256974-5788-4453-961F-BEBC0AE71E88}" uniqueName="21" name="Reason_Mutual" queryTableFieldId="21" dataDxfId="5"/>
    <tableColumn id="22" xr3:uid="{EE08BEAF-97DA-4B4A-B1EC-B4BE77D21B5B}" uniqueName="22" name="Reason_Bonds" queryTableFieldId="22" dataDxfId="4"/>
    <tableColumn id="23" xr3:uid="{07A5DA7F-52BE-4412-BF7A-9F622DAC6413}" uniqueName="23" name="Reason_FD" queryTableFieldId="23" dataDxfId="3"/>
    <tableColumn id="24" xr3:uid="{CC82E507-A108-4183-A10B-2AE0FB54F960}" uniqueName="24" name="Source" queryTableFieldId="2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77ED-098F-49E3-9B50-638CCB62CFA6}">
  <dimension ref="A3:B6"/>
  <sheetViews>
    <sheetView workbookViewId="0">
      <selection activeCell="D10" sqref="D10"/>
    </sheetView>
  </sheetViews>
  <sheetFormatPr defaultRowHeight="14.5" x14ac:dyDescent="0.35"/>
  <cols>
    <col min="1" max="1" width="12.36328125" bestFit="1" customWidth="1"/>
    <col min="2" max="2" width="14.453125" bestFit="1" customWidth="1"/>
  </cols>
  <sheetData>
    <row r="3" spans="1:2" x14ac:dyDescent="0.35">
      <c r="A3" s="7" t="s">
        <v>69</v>
      </c>
      <c r="B3" t="s">
        <v>71</v>
      </c>
    </row>
    <row r="4" spans="1:2" x14ac:dyDescent="0.35">
      <c r="A4" s="8" t="s">
        <v>22</v>
      </c>
      <c r="B4">
        <v>15</v>
      </c>
    </row>
    <row r="5" spans="1:2" x14ac:dyDescent="0.35">
      <c r="A5" s="8" t="s">
        <v>44</v>
      </c>
      <c r="B5">
        <v>25</v>
      </c>
    </row>
    <row r="6" spans="1:2" x14ac:dyDescent="0.35">
      <c r="A6" s="8" t="s">
        <v>70</v>
      </c>
      <c r="B6">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6352-D159-4834-8DAB-406EA033E5AD}">
  <dimension ref="A3:B8"/>
  <sheetViews>
    <sheetView topLeftCell="A2" workbookViewId="0">
      <selection activeCell="E15" sqref="E15"/>
    </sheetView>
  </sheetViews>
  <sheetFormatPr defaultRowHeight="14.5" x14ac:dyDescent="0.35"/>
  <cols>
    <col min="1" max="1" width="19" bestFit="1" customWidth="1"/>
    <col min="2" max="2" width="14.90625" bestFit="1" customWidth="1"/>
  </cols>
  <sheetData>
    <row r="3" spans="1:2" x14ac:dyDescent="0.35">
      <c r="A3" s="11" t="s">
        <v>69</v>
      </c>
      <c r="B3" t="s">
        <v>73</v>
      </c>
    </row>
    <row r="4" spans="1:2" x14ac:dyDescent="0.35">
      <c r="A4" s="8" t="s">
        <v>47</v>
      </c>
      <c r="B4">
        <v>10</v>
      </c>
    </row>
    <row r="5" spans="1:2" x14ac:dyDescent="0.35">
      <c r="A5" s="8" t="s">
        <v>63</v>
      </c>
      <c r="B5">
        <v>9</v>
      </c>
    </row>
    <row r="6" spans="1:2" x14ac:dyDescent="0.35">
      <c r="A6" s="8" t="s">
        <v>30</v>
      </c>
      <c r="B6">
        <v>18</v>
      </c>
    </row>
    <row r="7" spans="1:2" x14ac:dyDescent="0.35">
      <c r="A7" s="8" t="s">
        <v>65</v>
      </c>
      <c r="B7">
        <v>3</v>
      </c>
    </row>
    <row r="8" spans="1:2" x14ac:dyDescent="0.35">
      <c r="A8" s="8" t="s">
        <v>70</v>
      </c>
      <c r="B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761E-F188-434B-9EBE-33CCEC6DDEEA}">
  <dimension ref="A3:E45"/>
  <sheetViews>
    <sheetView topLeftCell="B4" workbookViewId="0">
      <selection activeCell="M4" sqref="M4"/>
    </sheetView>
  </sheetViews>
  <sheetFormatPr defaultRowHeight="14.5" x14ac:dyDescent="0.35"/>
  <cols>
    <col min="1" max="1" width="25.7265625" bestFit="1" customWidth="1"/>
    <col min="2" max="2" width="18" bestFit="1" customWidth="1"/>
    <col min="3" max="3" width="22" bestFit="1" customWidth="1"/>
    <col min="4" max="4" width="21.08984375" bestFit="1" customWidth="1"/>
    <col min="5" max="5" width="21.1796875" bestFit="1" customWidth="1"/>
  </cols>
  <sheetData>
    <row r="3" spans="1:5" x14ac:dyDescent="0.35">
      <c r="A3" s="7" t="s">
        <v>69</v>
      </c>
      <c r="B3" t="s">
        <v>77</v>
      </c>
      <c r="C3" t="s">
        <v>75</v>
      </c>
      <c r="D3" t="s">
        <v>76</v>
      </c>
      <c r="E3" t="s">
        <v>74</v>
      </c>
    </row>
    <row r="4" spans="1:5" x14ac:dyDescent="0.35">
      <c r="A4" s="8" t="s">
        <v>34</v>
      </c>
      <c r="B4">
        <v>18</v>
      </c>
      <c r="C4">
        <v>18</v>
      </c>
      <c r="D4">
        <v>18</v>
      </c>
      <c r="E4">
        <v>18</v>
      </c>
    </row>
    <row r="5" spans="1:5" x14ac:dyDescent="0.35">
      <c r="A5" s="10" t="s">
        <v>32</v>
      </c>
      <c r="B5">
        <v>8</v>
      </c>
      <c r="C5">
        <v>8</v>
      </c>
      <c r="D5">
        <v>8</v>
      </c>
      <c r="E5">
        <v>8</v>
      </c>
    </row>
    <row r="6" spans="1:5" x14ac:dyDescent="0.35">
      <c r="A6" s="12" t="s">
        <v>49</v>
      </c>
      <c r="B6">
        <v>4</v>
      </c>
      <c r="C6">
        <v>4</v>
      </c>
      <c r="D6">
        <v>4</v>
      </c>
      <c r="E6">
        <v>4</v>
      </c>
    </row>
    <row r="7" spans="1:5" x14ac:dyDescent="0.35">
      <c r="A7" s="13" t="s">
        <v>25</v>
      </c>
      <c r="B7">
        <v>4</v>
      </c>
      <c r="C7">
        <v>4</v>
      </c>
      <c r="D7">
        <v>4</v>
      </c>
      <c r="E7">
        <v>4</v>
      </c>
    </row>
    <row r="8" spans="1:5" x14ac:dyDescent="0.35">
      <c r="A8" s="12" t="s">
        <v>33</v>
      </c>
      <c r="B8">
        <v>4</v>
      </c>
      <c r="C8">
        <v>4</v>
      </c>
      <c r="D8">
        <v>4</v>
      </c>
      <c r="E8">
        <v>4</v>
      </c>
    </row>
    <row r="9" spans="1:5" x14ac:dyDescent="0.35">
      <c r="A9" s="13" t="s">
        <v>25</v>
      </c>
      <c r="B9">
        <v>3</v>
      </c>
      <c r="C9">
        <v>3</v>
      </c>
      <c r="D9">
        <v>3</v>
      </c>
      <c r="E9">
        <v>3</v>
      </c>
    </row>
    <row r="10" spans="1:5" x14ac:dyDescent="0.35">
      <c r="A10" s="13" t="s">
        <v>41</v>
      </c>
      <c r="B10">
        <v>1</v>
      </c>
      <c r="C10">
        <v>1</v>
      </c>
      <c r="D10">
        <v>1</v>
      </c>
      <c r="E10">
        <v>1</v>
      </c>
    </row>
    <row r="11" spans="1:5" x14ac:dyDescent="0.35">
      <c r="A11" s="10" t="s">
        <v>54</v>
      </c>
      <c r="B11">
        <v>7</v>
      </c>
      <c r="C11">
        <v>7</v>
      </c>
      <c r="D11">
        <v>7</v>
      </c>
      <c r="E11">
        <v>7</v>
      </c>
    </row>
    <row r="12" spans="1:5" x14ac:dyDescent="0.35">
      <c r="A12" s="12" t="s">
        <v>49</v>
      </c>
      <c r="B12">
        <v>5</v>
      </c>
      <c r="C12">
        <v>5</v>
      </c>
      <c r="D12">
        <v>5</v>
      </c>
      <c r="E12">
        <v>5</v>
      </c>
    </row>
    <row r="13" spans="1:5" x14ac:dyDescent="0.35">
      <c r="A13" s="13" t="s">
        <v>25</v>
      </c>
      <c r="B13">
        <v>3</v>
      </c>
      <c r="C13">
        <v>3</v>
      </c>
      <c r="D13">
        <v>3</v>
      </c>
      <c r="E13">
        <v>3</v>
      </c>
    </row>
    <row r="14" spans="1:5" x14ac:dyDescent="0.35">
      <c r="A14" s="13" t="s">
        <v>41</v>
      </c>
      <c r="B14">
        <v>2</v>
      </c>
      <c r="C14">
        <v>2</v>
      </c>
      <c r="D14">
        <v>2</v>
      </c>
      <c r="E14">
        <v>2</v>
      </c>
    </row>
    <row r="15" spans="1:5" x14ac:dyDescent="0.35">
      <c r="A15" s="12" t="s">
        <v>33</v>
      </c>
      <c r="B15">
        <v>2</v>
      </c>
      <c r="C15">
        <v>2</v>
      </c>
      <c r="D15">
        <v>2</v>
      </c>
      <c r="E15">
        <v>2</v>
      </c>
    </row>
    <row r="16" spans="1:5" x14ac:dyDescent="0.35">
      <c r="A16" s="13" t="s">
        <v>25</v>
      </c>
      <c r="B16">
        <v>2</v>
      </c>
      <c r="C16">
        <v>2</v>
      </c>
      <c r="D16">
        <v>2</v>
      </c>
      <c r="E16">
        <v>2</v>
      </c>
    </row>
    <row r="17" spans="1:5" x14ac:dyDescent="0.35">
      <c r="A17" s="10" t="s">
        <v>48</v>
      </c>
      <c r="B17">
        <v>3</v>
      </c>
      <c r="C17">
        <v>3</v>
      </c>
      <c r="D17">
        <v>3</v>
      </c>
      <c r="E17">
        <v>3</v>
      </c>
    </row>
    <row r="18" spans="1:5" x14ac:dyDescent="0.35">
      <c r="A18" s="12" t="s">
        <v>49</v>
      </c>
      <c r="B18">
        <v>1</v>
      </c>
      <c r="C18">
        <v>1</v>
      </c>
      <c r="D18">
        <v>1</v>
      </c>
      <c r="E18">
        <v>1</v>
      </c>
    </row>
    <row r="19" spans="1:5" x14ac:dyDescent="0.35">
      <c r="A19" s="13" t="s">
        <v>25</v>
      </c>
      <c r="B19">
        <v>1</v>
      </c>
      <c r="C19">
        <v>1</v>
      </c>
      <c r="D19">
        <v>1</v>
      </c>
      <c r="E19">
        <v>1</v>
      </c>
    </row>
    <row r="20" spans="1:5" x14ac:dyDescent="0.35">
      <c r="A20" s="12" t="s">
        <v>33</v>
      </c>
      <c r="B20">
        <v>2</v>
      </c>
      <c r="C20">
        <v>2</v>
      </c>
      <c r="D20">
        <v>2</v>
      </c>
      <c r="E20">
        <v>2</v>
      </c>
    </row>
    <row r="21" spans="1:5" x14ac:dyDescent="0.35">
      <c r="A21" s="13" t="s">
        <v>25</v>
      </c>
      <c r="B21">
        <v>2</v>
      </c>
      <c r="C21">
        <v>2</v>
      </c>
      <c r="D21">
        <v>2</v>
      </c>
      <c r="E21">
        <v>2</v>
      </c>
    </row>
    <row r="22" spans="1:5" x14ac:dyDescent="0.35">
      <c r="A22" s="8" t="s">
        <v>42</v>
      </c>
      <c r="B22">
        <v>3</v>
      </c>
      <c r="C22">
        <v>3</v>
      </c>
      <c r="D22">
        <v>3</v>
      </c>
      <c r="E22">
        <v>3</v>
      </c>
    </row>
    <row r="23" spans="1:5" x14ac:dyDescent="0.35">
      <c r="A23" s="10" t="s">
        <v>32</v>
      </c>
      <c r="B23">
        <v>2</v>
      </c>
      <c r="C23">
        <v>2</v>
      </c>
      <c r="D23">
        <v>2</v>
      </c>
      <c r="E23">
        <v>2</v>
      </c>
    </row>
    <row r="24" spans="1:5" x14ac:dyDescent="0.35">
      <c r="A24" s="12" t="s">
        <v>49</v>
      </c>
      <c r="B24">
        <v>1</v>
      </c>
      <c r="C24">
        <v>1</v>
      </c>
      <c r="D24">
        <v>1</v>
      </c>
      <c r="E24">
        <v>1</v>
      </c>
    </row>
    <row r="25" spans="1:5" x14ac:dyDescent="0.35">
      <c r="A25" s="13" t="s">
        <v>25</v>
      </c>
      <c r="B25">
        <v>1</v>
      </c>
      <c r="C25">
        <v>1</v>
      </c>
      <c r="D25">
        <v>1</v>
      </c>
      <c r="E25">
        <v>1</v>
      </c>
    </row>
    <row r="26" spans="1:5" x14ac:dyDescent="0.35">
      <c r="A26" s="12" t="s">
        <v>33</v>
      </c>
      <c r="B26">
        <v>1</v>
      </c>
      <c r="C26">
        <v>1</v>
      </c>
      <c r="D26">
        <v>1</v>
      </c>
      <c r="E26">
        <v>1</v>
      </c>
    </row>
    <row r="27" spans="1:5" x14ac:dyDescent="0.35">
      <c r="A27" s="13" t="s">
        <v>41</v>
      </c>
      <c r="B27">
        <v>1</v>
      </c>
      <c r="C27">
        <v>1</v>
      </c>
      <c r="D27">
        <v>1</v>
      </c>
      <c r="E27">
        <v>1</v>
      </c>
    </row>
    <row r="28" spans="1:5" x14ac:dyDescent="0.35">
      <c r="A28" s="10" t="s">
        <v>54</v>
      </c>
      <c r="B28">
        <v>1</v>
      </c>
      <c r="C28">
        <v>1</v>
      </c>
      <c r="D28">
        <v>1</v>
      </c>
      <c r="E28">
        <v>1</v>
      </c>
    </row>
    <row r="29" spans="1:5" x14ac:dyDescent="0.35">
      <c r="A29" s="12" t="s">
        <v>55</v>
      </c>
      <c r="B29">
        <v>1</v>
      </c>
      <c r="C29">
        <v>1</v>
      </c>
      <c r="D29">
        <v>1</v>
      </c>
      <c r="E29">
        <v>1</v>
      </c>
    </row>
    <row r="30" spans="1:5" x14ac:dyDescent="0.35">
      <c r="A30" s="13" t="s">
        <v>41</v>
      </c>
      <c r="B30">
        <v>1</v>
      </c>
      <c r="C30">
        <v>1</v>
      </c>
      <c r="D30">
        <v>1</v>
      </c>
      <c r="E30">
        <v>1</v>
      </c>
    </row>
    <row r="31" spans="1:5" x14ac:dyDescent="0.35">
      <c r="A31" s="8" t="s">
        <v>57</v>
      </c>
      <c r="B31">
        <v>19</v>
      </c>
      <c r="C31">
        <v>19</v>
      </c>
      <c r="D31">
        <v>19</v>
      </c>
      <c r="E31">
        <v>19</v>
      </c>
    </row>
    <row r="32" spans="1:5" x14ac:dyDescent="0.35">
      <c r="A32" s="10" t="s">
        <v>32</v>
      </c>
      <c r="B32">
        <v>14</v>
      </c>
      <c r="C32">
        <v>14</v>
      </c>
      <c r="D32">
        <v>14</v>
      </c>
      <c r="E32">
        <v>14</v>
      </c>
    </row>
    <row r="33" spans="1:5" x14ac:dyDescent="0.35">
      <c r="A33" s="12" t="s">
        <v>49</v>
      </c>
      <c r="B33">
        <v>11</v>
      </c>
      <c r="C33">
        <v>11</v>
      </c>
      <c r="D33">
        <v>11</v>
      </c>
      <c r="E33">
        <v>11</v>
      </c>
    </row>
    <row r="34" spans="1:5" x14ac:dyDescent="0.35">
      <c r="A34" s="13" t="s">
        <v>25</v>
      </c>
      <c r="B34">
        <v>9</v>
      </c>
      <c r="C34">
        <v>9</v>
      </c>
      <c r="D34">
        <v>9</v>
      </c>
      <c r="E34">
        <v>9</v>
      </c>
    </row>
    <row r="35" spans="1:5" x14ac:dyDescent="0.35">
      <c r="A35" s="13" t="s">
        <v>41</v>
      </c>
      <c r="B35">
        <v>1</v>
      </c>
      <c r="C35">
        <v>1</v>
      </c>
      <c r="D35">
        <v>1</v>
      </c>
      <c r="E35">
        <v>1</v>
      </c>
    </row>
    <row r="36" spans="1:5" x14ac:dyDescent="0.35">
      <c r="A36" s="13" t="s">
        <v>60</v>
      </c>
      <c r="B36">
        <v>1</v>
      </c>
      <c r="C36">
        <v>1</v>
      </c>
      <c r="D36">
        <v>1</v>
      </c>
      <c r="E36">
        <v>1</v>
      </c>
    </row>
    <row r="37" spans="1:5" x14ac:dyDescent="0.35">
      <c r="A37" s="12" t="s">
        <v>33</v>
      </c>
      <c r="B37">
        <v>3</v>
      </c>
      <c r="C37">
        <v>3</v>
      </c>
      <c r="D37">
        <v>3</v>
      </c>
      <c r="E37">
        <v>3</v>
      </c>
    </row>
    <row r="38" spans="1:5" x14ac:dyDescent="0.35">
      <c r="A38" s="13" t="s">
        <v>25</v>
      </c>
      <c r="B38">
        <v>1</v>
      </c>
      <c r="C38">
        <v>1</v>
      </c>
      <c r="D38">
        <v>1</v>
      </c>
      <c r="E38">
        <v>1</v>
      </c>
    </row>
    <row r="39" spans="1:5" x14ac:dyDescent="0.35">
      <c r="A39" s="13" t="s">
        <v>41</v>
      </c>
      <c r="B39">
        <v>2</v>
      </c>
      <c r="C39">
        <v>2</v>
      </c>
      <c r="D39">
        <v>2</v>
      </c>
      <c r="E39">
        <v>2</v>
      </c>
    </row>
    <row r="40" spans="1:5" x14ac:dyDescent="0.35">
      <c r="A40" s="10" t="s">
        <v>54</v>
      </c>
      <c r="B40">
        <v>5</v>
      </c>
      <c r="C40">
        <v>5</v>
      </c>
      <c r="D40">
        <v>5</v>
      </c>
      <c r="E40">
        <v>5</v>
      </c>
    </row>
    <row r="41" spans="1:5" x14ac:dyDescent="0.35">
      <c r="A41" s="12" t="s">
        <v>49</v>
      </c>
      <c r="B41">
        <v>4</v>
      </c>
      <c r="C41">
        <v>4</v>
      </c>
      <c r="D41">
        <v>4</v>
      </c>
      <c r="E41">
        <v>4</v>
      </c>
    </row>
    <row r="42" spans="1:5" x14ac:dyDescent="0.35">
      <c r="A42" s="13" t="s">
        <v>25</v>
      </c>
      <c r="B42">
        <v>4</v>
      </c>
      <c r="C42">
        <v>4</v>
      </c>
      <c r="D42">
        <v>4</v>
      </c>
      <c r="E42">
        <v>4</v>
      </c>
    </row>
    <row r="43" spans="1:5" x14ac:dyDescent="0.35">
      <c r="A43" s="12" t="s">
        <v>33</v>
      </c>
      <c r="B43">
        <v>1</v>
      </c>
      <c r="C43">
        <v>1</v>
      </c>
      <c r="D43">
        <v>1</v>
      </c>
      <c r="E43">
        <v>1</v>
      </c>
    </row>
    <row r="44" spans="1:5" x14ac:dyDescent="0.35">
      <c r="A44" s="13" t="s">
        <v>60</v>
      </c>
      <c r="B44">
        <v>1</v>
      </c>
      <c r="C44">
        <v>1</v>
      </c>
      <c r="D44">
        <v>1</v>
      </c>
      <c r="E44">
        <v>1</v>
      </c>
    </row>
    <row r="45" spans="1:5" x14ac:dyDescent="0.35">
      <c r="A45" s="8" t="s">
        <v>70</v>
      </c>
      <c r="B45">
        <v>40</v>
      </c>
      <c r="C45">
        <v>40</v>
      </c>
      <c r="D45">
        <v>40</v>
      </c>
      <c r="E45">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6B80-B3C9-4542-A3E0-0D97750E7A7F}">
  <dimension ref="A3:B7"/>
  <sheetViews>
    <sheetView topLeftCell="A7" workbookViewId="0">
      <selection activeCell="A3" sqref="A3"/>
    </sheetView>
  </sheetViews>
  <sheetFormatPr defaultRowHeight="14.5" x14ac:dyDescent="0.35"/>
  <cols>
    <col min="1" max="1" width="14.1796875" bestFit="1" customWidth="1"/>
    <col min="2" max="2" width="37.54296875" bestFit="1" customWidth="1"/>
  </cols>
  <sheetData>
    <row r="3" spans="1:2" x14ac:dyDescent="0.35">
      <c r="A3" s="7" t="s">
        <v>69</v>
      </c>
      <c r="B3" t="s">
        <v>78</v>
      </c>
    </row>
    <row r="4" spans="1:2" x14ac:dyDescent="0.35">
      <c r="A4" s="8" t="s">
        <v>64</v>
      </c>
      <c r="B4">
        <v>3</v>
      </c>
    </row>
    <row r="5" spans="1:2" x14ac:dyDescent="0.35">
      <c r="A5" s="8" t="s">
        <v>40</v>
      </c>
      <c r="B5">
        <v>13</v>
      </c>
    </row>
    <row r="6" spans="1:2" x14ac:dyDescent="0.35">
      <c r="A6" s="8" t="s">
        <v>31</v>
      </c>
      <c r="B6">
        <v>24</v>
      </c>
    </row>
    <row r="7" spans="1:2" x14ac:dyDescent="0.35">
      <c r="A7" s="8" t="s">
        <v>70</v>
      </c>
      <c r="B7">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169C-CA53-4CBA-984E-3D5AAB801F04}">
  <dimension ref="A3:B8"/>
  <sheetViews>
    <sheetView workbookViewId="0">
      <selection activeCell="I17" sqref="I17"/>
    </sheetView>
  </sheetViews>
  <sheetFormatPr defaultRowHeight="14.5" x14ac:dyDescent="0.35"/>
  <cols>
    <col min="1" max="1" width="24.26953125" bestFit="1" customWidth="1"/>
    <col min="2" max="2" width="14.26953125" bestFit="1" customWidth="1"/>
  </cols>
  <sheetData>
    <row r="3" spans="1:2" x14ac:dyDescent="0.35">
      <c r="A3" s="7" t="s">
        <v>69</v>
      </c>
      <c r="B3" t="s">
        <v>79</v>
      </c>
    </row>
    <row r="4" spans="1:2" x14ac:dyDescent="0.35">
      <c r="A4" s="8" t="s">
        <v>43</v>
      </c>
      <c r="B4">
        <v>16</v>
      </c>
    </row>
    <row r="5" spans="1:2" x14ac:dyDescent="0.35">
      <c r="A5" s="8" t="s">
        <v>56</v>
      </c>
      <c r="B5">
        <v>4</v>
      </c>
    </row>
    <row r="6" spans="1:2" x14ac:dyDescent="0.35">
      <c r="A6" s="8" t="s">
        <v>35</v>
      </c>
      <c r="B6">
        <v>14</v>
      </c>
    </row>
    <row r="7" spans="1:2" x14ac:dyDescent="0.35">
      <c r="A7" s="8" t="s">
        <v>50</v>
      </c>
      <c r="B7">
        <v>6</v>
      </c>
    </row>
    <row r="8" spans="1:2" x14ac:dyDescent="0.35">
      <c r="A8" s="8" t="s">
        <v>70</v>
      </c>
      <c r="B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4B0C-9290-4FA4-B44C-86284489C8FD}">
  <dimension ref="A3:B8"/>
  <sheetViews>
    <sheetView workbookViewId="0">
      <selection activeCell="A13" sqref="A13"/>
    </sheetView>
  </sheetViews>
  <sheetFormatPr defaultRowHeight="14.5" x14ac:dyDescent="0.35"/>
  <cols>
    <col min="1" max="2" width="16.08984375" bestFit="1" customWidth="1"/>
  </cols>
  <sheetData>
    <row r="3" spans="1:2" x14ac:dyDescent="0.35">
      <c r="A3" s="7" t="s">
        <v>69</v>
      </c>
      <c r="B3" t="s">
        <v>80</v>
      </c>
    </row>
    <row r="4" spans="1:2" x14ac:dyDescent="0.35">
      <c r="A4" s="8" t="s">
        <v>27</v>
      </c>
      <c r="B4">
        <v>18</v>
      </c>
    </row>
    <row r="5" spans="1:2" x14ac:dyDescent="0.35">
      <c r="A5" s="8" t="s">
        <v>45</v>
      </c>
      <c r="B5">
        <v>19</v>
      </c>
    </row>
    <row r="6" spans="1:2" x14ac:dyDescent="0.35">
      <c r="A6" s="8" t="s">
        <v>52</v>
      </c>
      <c r="B6">
        <v>2</v>
      </c>
    </row>
    <row r="7" spans="1:2" x14ac:dyDescent="0.35">
      <c r="A7" s="8" t="s">
        <v>38</v>
      </c>
      <c r="B7">
        <v>1</v>
      </c>
    </row>
    <row r="8" spans="1:2" x14ac:dyDescent="0.35">
      <c r="A8" s="8" t="s">
        <v>70</v>
      </c>
      <c r="B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95E0-8880-4573-8822-FF91E7854B7C}">
  <dimension ref="A3:B7"/>
  <sheetViews>
    <sheetView workbookViewId="0">
      <selection activeCell="A3" sqref="A3"/>
    </sheetView>
  </sheetViews>
  <sheetFormatPr defaultRowHeight="14.5" x14ac:dyDescent="0.35"/>
  <cols>
    <col min="1" max="1" width="12.36328125" bestFit="1" customWidth="1"/>
    <col min="2" max="2" width="14.1796875" bestFit="1" customWidth="1"/>
  </cols>
  <sheetData>
    <row r="3" spans="1:2" x14ac:dyDescent="0.35">
      <c r="A3" s="7" t="s">
        <v>69</v>
      </c>
      <c r="B3" t="s">
        <v>81</v>
      </c>
    </row>
    <row r="4" spans="1:2" x14ac:dyDescent="0.35">
      <c r="A4" s="8" t="s">
        <v>53</v>
      </c>
      <c r="B4">
        <v>3</v>
      </c>
    </row>
    <row r="5" spans="1:2" x14ac:dyDescent="0.35">
      <c r="A5" s="8" t="s">
        <v>29</v>
      </c>
      <c r="B5">
        <v>32</v>
      </c>
    </row>
    <row r="6" spans="1:2" x14ac:dyDescent="0.35">
      <c r="A6" s="8" t="s">
        <v>59</v>
      </c>
      <c r="B6">
        <v>5</v>
      </c>
    </row>
    <row r="7" spans="1:2" x14ac:dyDescent="0.35">
      <c r="A7" s="8" t="s">
        <v>70</v>
      </c>
      <c r="B7">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5A40-DAB1-454B-81C9-5F64BD0A83F6}">
  <dimension ref="A1:Y55"/>
  <sheetViews>
    <sheetView topLeftCell="B38" workbookViewId="0">
      <selection activeCell="P48" sqref="P48"/>
    </sheetView>
  </sheetViews>
  <sheetFormatPr defaultRowHeight="14.5" x14ac:dyDescent="0.35"/>
  <cols>
    <col min="1" max="1" width="19.81640625" bestFit="1" customWidth="1"/>
    <col min="2" max="2" width="8.81640625" bestFit="1" customWidth="1"/>
    <col min="3" max="3" width="23.1796875" bestFit="1" customWidth="1"/>
    <col min="4" max="4" width="17.54296875" bestFit="1" customWidth="1"/>
    <col min="5" max="5" width="17.90625" bestFit="1" customWidth="1"/>
    <col min="6" max="6" width="15.1796875" bestFit="1" customWidth="1"/>
    <col min="7" max="7" width="22.26953125" bestFit="1" customWidth="1"/>
    <col min="8" max="8" width="18.08984375" bestFit="1" customWidth="1"/>
    <col min="9" max="9" width="8.453125" bestFit="1" customWidth="1"/>
    <col min="10" max="10" width="9.26953125" bestFit="1" customWidth="1"/>
    <col min="11" max="11" width="17.90625" bestFit="1" customWidth="1"/>
    <col min="12" max="12" width="12.7265625" bestFit="1" customWidth="1"/>
    <col min="13" max="13" width="17.81640625" bestFit="1" customWidth="1"/>
    <col min="14" max="14" width="15.81640625" bestFit="1" customWidth="1"/>
    <col min="15" max="15" width="16.08984375" bestFit="1" customWidth="1"/>
    <col min="16" max="16" width="16.54296875" style="1" bestFit="1" customWidth="1"/>
    <col min="17" max="17" width="18.453125" bestFit="1" customWidth="1"/>
    <col min="18" max="18" width="8.6328125" bestFit="1" customWidth="1"/>
    <col min="19" max="19" width="19" bestFit="1" customWidth="1"/>
    <col min="20" max="20" width="31.90625" bestFit="1" customWidth="1"/>
    <col min="21" max="21" width="17.81640625" bestFit="1" customWidth="1"/>
    <col min="22" max="22" width="17.453125" bestFit="1" customWidth="1"/>
    <col min="23" max="23" width="15.453125" bestFit="1" customWidth="1"/>
    <col min="24" max="24" width="16.54296875" bestFit="1" customWidth="1"/>
    <col min="25" max="25" width="24.26953125" bestFit="1" customWidth="1"/>
  </cols>
  <sheetData>
    <row r="1" spans="1:25" x14ac:dyDescent="0.35">
      <c r="A1" s="1" t="s">
        <v>83</v>
      </c>
      <c r="B1" s="1" t="s">
        <v>84</v>
      </c>
      <c r="C1" s="1" t="s">
        <v>0</v>
      </c>
      <c r="D1" s="1" t="s">
        <v>1</v>
      </c>
      <c r="E1" s="1" t="s">
        <v>2</v>
      </c>
      <c r="F1" s="1" t="s">
        <v>3</v>
      </c>
      <c r="G1" s="1" t="s">
        <v>4</v>
      </c>
      <c r="H1" s="1" t="s">
        <v>5</v>
      </c>
      <c r="I1" s="1" t="s">
        <v>6</v>
      </c>
      <c r="J1" s="1" t="s">
        <v>7</v>
      </c>
      <c r="K1" s="1" t="s">
        <v>8</v>
      </c>
      <c r="L1" s="1" t="s">
        <v>9</v>
      </c>
      <c r="M1" s="1" t="s">
        <v>10</v>
      </c>
      <c r="N1" s="1" t="s">
        <v>11</v>
      </c>
      <c r="O1" s="1" t="s">
        <v>12</v>
      </c>
      <c r="P1" s="14" t="s">
        <v>82</v>
      </c>
      <c r="Q1" s="1" t="s">
        <v>13</v>
      </c>
      <c r="R1" s="1" t="s">
        <v>14</v>
      </c>
      <c r="S1" s="1" t="s">
        <v>15</v>
      </c>
      <c r="T1" s="1" t="s">
        <v>16</v>
      </c>
      <c r="U1" s="1" t="s">
        <v>17</v>
      </c>
      <c r="V1" s="1" t="s">
        <v>18</v>
      </c>
      <c r="W1" s="1" t="s">
        <v>19</v>
      </c>
      <c r="X1" s="1" t="s">
        <v>20</v>
      </c>
      <c r="Y1" s="1" t="s">
        <v>21</v>
      </c>
    </row>
    <row r="2" spans="1:25" x14ac:dyDescent="0.35">
      <c r="A2" s="1" t="s">
        <v>22</v>
      </c>
      <c r="B2" s="1">
        <v>34</v>
      </c>
      <c r="C2" s="1" t="s">
        <v>23</v>
      </c>
      <c r="D2" s="1">
        <v>1</v>
      </c>
      <c r="E2" s="1">
        <v>2</v>
      </c>
      <c r="F2" s="1">
        <v>5</v>
      </c>
      <c r="G2" s="1">
        <v>3</v>
      </c>
      <c r="H2" s="1">
        <v>7</v>
      </c>
      <c r="I2" s="1">
        <v>6</v>
      </c>
      <c r="J2" s="1">
        <v>4</v>
      </c>
      <c r="K2" s="1" t="s">
        <v>23</v>
      </c>
      <c r="L2" s="1" t="s">
        <v>24</v>
      </c>
      <c r="M2" s="1" t="s">
        <v>25</v>
      </c>
      <c r="N2" s="1" t="s">
        <v>26</v>
      </c>
      <c r="O2" s="1" t="s">
        <v>27</v>
      </c>
      <c r="P2" s="1">
        <f>CHOOSE(MATCH(O2,{"Less than 1 year","1-3 years","3-5 years","More than 5 years"},0),1,2,3,4)</f>
        <v>2</v>
      </c>
      <c r="Q2" s="1" t="s">
        <v>28</v>
      </c>
      <c r="R2" s="1" t="s">
        <v>29</v>
      </c>
      <c r="S2" s="1" t="s">
        <v>30</v>
      </c>
      <c r="T2" s="1" t="s">
        <v>31</v>
      </c>
      <c r="U2" s="1" t="s">
        <v>25</v>
      </c>
      <c r="V2" s="1" t="s">
        <v>32</v>
      </c>
      <c r="W2" s="1" t="s">
        <v>33</v>
      </c>
      <c r="X2" s="1" t="s">
        <v>34</v>
      </c>
      <c r="Y2" s="1" t="s">
        <v>35</v>
      </c>
    </row>
    <row r="3" spans="1:25" x14ac:dyDescent="0.35">
      <c r="A3" s="1" t="s">
        <v>22</v>
      </c>
      <c r="B3" s="1">
        <v>23</v>
      </c>
      <c r="C3" s="1" t="s">
        <v>23</v>
      </c>
      <c r="D3" s="1">
        <v>4</v>
      </c>
      <c r="E3" s="1">
        <v>3</v>
      </c>
      <c r="F3" s="1">
        <v>2</v>
      </c>
      <c r="G3" s="1">
        <v>1</v>
      </c>
      <c r="H3" s="1">
        <v>5</v>
      </c>
      <c r="I3" s="1">
        <v>6</v>
      </c>
      <c r="J3" s="1">
        <v>7</v>
      </c>
      <c r="K3" s="1" t="s">
        <v>36</v>
      </c>
      <c r="L3" s="1" t="s">
        <v>37</v>
      </c>
      <c r="M3" s="1" t="s">
        <v>25</v>
      </c>
      <c r="N3" s="1" t="s">
        <v>26</v>
      </c>
      <c r="O3" s="1" t="s">
        <v>38</v>
      </c>
      <c r="P3" s="1">
        <f>CHOOSE(MATCH(O3,{"Less than 1 year","1-3 years","3-5 years","More than 5 years"},0),1,2,3,4)</f>
        <v>4</v>
      </c>
      <c r="Q3" s="1" t="s">
        <v>39</v>
      </c>
      <c r="R3" s="1" t="s">
        <v>29</v>
      </c>
      <c r="S3" s="1" t="s">
        <v>30</v>
      </c>
      <c r="T3" s="1" t="s">
        <v>40</v>
      </c>
      <c r="U3" s="1" t="s">
        <v>41</v>
      </c>
      <c r="V3" s="1" t="s">
        <v>32</v>
      </c>
      <c r="W3" s="1" t="s">
        <v>33</v>
      </c>
      <c r="X3" s="1" t="s">
        <v>42</v>
      </c>
      <c r="Y3" s="1" t="s">
        <v>43</v>
      </c>
    </row>
    <row r="4" spans="1:25" x14ac:dyDescent="0.35">
      <c r="A4" s="1" t="s">
        <v>44</v>
      </c>
      <c r="B4" s="1">
        <v>30</v>
      </c>
      <c r="C4" s="1" t="s">
        <v>23</v>
      </c>
      <c r="D4" s="1">
        <v>3</v>
      </c>
      <c r="E4" s="1">
        <v>6</v>
      </c>
      <c r="F4" s="1">
        <v>4</v>
      </c>
      <c r="G4" s="1">
        <v>2</v>
      </c>
      <c r="H4" s="1">
        <v>5</v>
      </c>
      <c r="I4" s="1">
        <v>1</v>
      </c>
      <c r="J4" s="1">
        <v>7</v>
      </c>
      <c r="K4" s="1" t="s">
        <v>23</v>
      </c>
      <c r="L4" s="1" t="s">
        <v>24</v>
      </c>
      <c r="M4" s="1" t="s">
        <v>25</v>
      </c>
      <c r="N4" s="1" t="s">
        <v>26</v>
      </c>
      <c r="O4" s="1" t="s">
        <v>45</v>
      </c>
      <c r="P4" s="1">
        <f>CHOOSE(MATCH(O4,{"Less than 1 year","1-3 years","3-5 years","More than 5 years"},0),1,2,3,4)</f>
        <v>3</v>
      </c>
      <c r="Q4" s="1" t="s">
        <v>46</v>
      </c>
      <c r="R4" s="1" t="s">
        <v>29</v>
      </c>
      <c r="S4" s="1" t="s">
        <v>47</v>
      </c>
      <c r="T4" s="1" t="s">
        <v>31</v>
      </c>
      <c r="U4" s="1" t="s">
        <v>25</v>
      </c>
      <c r="V4" s="1" t="s">
        <v>48</v>
      </c>
      <c r="W4" s="1" t="s">
        <v>49</v>
      </c>
      <c r="X4" s="1" t="s">
        <v>34</v>
      </c>
      <c r="Y4" s="1" t="s">
        <v>50</v>
      </c>
    </row>
    <row r="5" spans="1:25" x14ac:dyDescent="0.35">
      <c r="A5" s="1" t="s">
        <v>44</v>
      </c>
      <c r="B5" s="1">
        <v>22</v>
      </c>
      <c r="C5" s="1" t="s">
        <v>23</v>
      </c>
      <c r="D5" s="1">
        <v>2</v>
      </c>
      <c r="E5" s="1">
        <v>1</v>
      </c>
      <c r="F5" s="1">
        <v>3</v>
      </c>
      <c r="G5" s="1">
        <v>7</v>
      </c>
      <c r="H5" s="1">
        <v>6</v>
      </c>
      <c r="I5" s="1">
        <v>4</v>
      </c>
      <c r="J5" s="1">
        <v>5</v>
      </c>
      <c r="K5" s="1" t="s">
        <v>23</v>
      </c>
      <c r="L5" s="1" t="s">
        <v>24</v>
      </c>
      <c r="M5" s="1" t="s">
        <v>51</v>
      </c>
      <c r="N5" s="1" t="s">
        <v>26</v>
      </c>
      <c r="O5" s="1" t="s">
        <v>52</v>
      </c>
      <c r="P5" s="1">
        <f>CHOOSE(MATCH(O5,{"Less than 1 year","1-3 years","3-5 years","More than 5 years"},0),1,2,3,4)</f>
        <v>1</v>
      </c>
      <c r="Q5" s="1" t="s">
        <v>46</v>
      </c>
      <c r="R5" s="1" t="s">
        <v>53</v>
      </c>
      <c r="S5" s="1" t="s">
        <v>47</v>
      </c>
      <c r="T5" s="1" t="s">
        <v>31</v>
      </c>
      <c r="U5" s="1" t="s">
        <v>41</v>
      </c>
      <c r="V5" s="1" t="s">
        <v>54</v>
      </c>
      <c r="W5" s="1" t="s">
        <v>55</v>
      </c>
      <c r="X5" s="1" t="s">
        <v>42</v>
      </c>
      <c r="Y5" s="1" t="s">
        <v>56</v>
      </c>
    </row>
    <row r="6" spans="1:25" x14ac:dyDescent="0.35">
      <c r="A6" s="1" t="s">
        <v>22</v>
      </c>
      <c r="B6" s="1">
        <v>24</v>
      </c>
      <c r="C6" s="1" t="s">
        <v>36</v>
      </c>
      <c r="D6" s="1">
        <v>2</v>
      </c>
      <c r="E6" s="1">
        <v>1</v>
      </c>
      <c r="F6" s="1">
        <v>3</v>
      </c>
      <c r="G6" s="1">
        <v>6</v>
      </c>
      <c r="H6" s="1">
        <v>4</v>
      </c>
      <c r="I6" s="1">
        <v>5</v>
      </c>
      <c r="J6" s="1">
        <v>7</v>
      </c>
      <c r="K6" s="1" t="s">
        <v>36</v>
      </c>
      <c r="L6" s="1" t="s">
        <v>24</v>
      </c>
      <c r="M6" s="1" t="s">
        <v>51</v>
      </c>
      <c r="N6" s="1" t="s">
        <v>26</v>
      </c>
      <c r="O6" s="1" t="s">
        <v>52</v>
      </c>
      <c r="P6" s="1">
        <f>CHOOSE(MATCH(O6,{"Less than 1 year","1-3 years","3-5 years","More than 5 years"},0),1,2,3,4)</f>
        <v>1</v>
      </c>
      <c r="Q6" s="1" t="s">
        <v>46</v>
      </c>
      <c r="R6" s="1" t="s">
        <v>29</v>
      </c>
      <c r="S6" s="1" t="s">
        <v>47</v>
      </c>
      <c r="T6" s="1" t="s">
        <v>31</v>
      </c>
      <c r="U6" s="1" t="s">
        <v>25</v>
      </c>
      <c r="V6" s="1" t="s">
        <v>32</v>
      </c>
      <c r="W6" s="1" t="s">
        <v>33</v>
      </c>
      <c r="X6" s="1" t="s">
        <v>57</v>
      </c>
      <c r="Y6" s="1" t="s">
        <v>56</v>
      </c>
    </row>
    <row r="7" spans="1:25" x14ac:dyDescent="0.35">
      <c r="A7" s="1" t="s">
        <v>22</v>
      </c>
      <c r="B7" s="1">
        <v>24</v>
      </c>
      <c r="C7" s="1" t="s">
        <v>36</v>
      </c>
      <c r="D7" s="1">
        <v>7</v>
      </c>
      <c r="E7" s="1">
        <v>5</v>
      </c>
      <c r="F7" s="1">
        <v>4</v>
      </c>
      <c r="G7" s="1">
        <v>6</v>
      </c>
      <c r="H7" s="1">
        <v>3</v>
      </c>
      <c r="I7" s="1">
        <v>1</v>
      </c>
      <c r="J7" s="1">
        <v>2</v>
      </c>
      <c r="K7" s="1" t="s">
        <v>36</v>
      </c>
      <c r="L7" s="1" t="s">
        <v>58</v>
      </c>
      <c r="M7" s="1" t="s">
        <v>25</v>
      </c>
      <c r="N7" s="1" t="s">
        <v>26</v>
      </c>
      <c r="O7" s="1" t="s">
        <v>27</v>
      </c>
      <c r="P7" s="1">
        <f>CHOOSE(MATCH(O7,{"Less than 1 year","1-3 years","3-5 years","More than 5 years"},0),1,2,3,4)</f>
        <v>2</v>
      </c>
      <c r="Q7" s="1" t="s">
        <v>46</v>
      </c>
      <c r="R7" s="1" t="s">
        <v>59</v>
      </c>
      <c r="S7" s="1" t="s">
        <v>30</v>
      </c>
      <c r="T7" s="1" t="s">
        <v>31</v>
      </c>
      <c r="U7" s="1" t="s">
        <v>60</v>
      </c>
      <c r="V7" s="1" t="s">
        <v>54</v>
      </c>
      <c r="W7" s="1" t="s">
        <v>33</v>
      </c>
      <c r="X7" s="1" t="s">
        <v>57</v>
      </c>
      <c r="Y7" s="1" t="s">
        <v>56</v>
      </c>
    </row>
    <row r="8" spans="1:25" x14ac:dyDescent="0.35">
      <c r="A8" s="1" t="s">
        <v>22</v>
      </c>
      <c r="B8" s="1">
        <v>27</v>
      </c>
      <c r="C8" s="1" t="s">
        <v>23</v>
      </c>
      <c r="D8" s="1">
        <v>3</v>
      </c>
      <c r="E8" s="1">
        <v>6</v>
      </c>
      <c r="F8" s="1">
        <v>4</v>
      </c>
      <c r="G8" s="1">
        <v>2</v>
      </c>
      <c r="H8" s="1">
        <v>5</v>
      </c>
      <c r="I8" s="1">
        <v>1</v>
      </c>
      <c r="J8" s="1">
        <v>7</v>
      </c>
      <c r="K8" s="1" t="s">
        <v>23</v>
      </c>
      <c r="L8" s="1" t="s">
        <v>24</v>
      </c>
      <c r="M8" s="1" t="s">
        <v>25</v>
      </c>
      <c r="N8" s="1" t="s">
        <v>26</v>
      </c>
      <c r="O8" s="1" t="s">
        <v>45</v>
      </c>
      <c r="P8" s="1">
        <f>CHOOSE(MATCH(O8,{"Less than 1 year","1-3 years","3-5 years","More than 5 years"},0),1,2,3,4)</f>
        <v>3</v>
      </c>
      <c r="Q8" s="1" t="s">
        <v>28</v>
      </c>
      <c r="R8" s="1" t="s">
        <v>29</v>
      </c>
      <c r="S8" s="1" t="s">
        <v>47</v>
      </c>
      <c r="T8" s="1" t="s">
        <v>31</v>
      </c>
      <c r="U8" s="1" t="s">
        <v>25</v>
      </c>
      <c r="V8" s="1" t="s">
        <v>32</v>
      </c>
      <c r="W8" s="1" t="s">
        <v>49</v>
      </c>
      <c r="X8" s="1" t="s">
        <v>42</v>
      </c>
      <c r="Y8" s="1" t="s">
        <v>43</v>
      </c>
    </row>
    <row r="9" spans="1:25" x14ac:dyDescent="0.35">
      <c r="A9" s="1" t="s">
        <v>44</v>
      </c>
      <c r="B9" s="1">
        <v>21</v>
      </c>
      <c r="C9" s="1" t="s">
        <v>23</v>
      </c>
      <c r="D9" s="1">
        <v>2</v>
      </c>
      <c r="E9" s="1">
        <v>3</v>
      </c>
      <c r="F9" s="1">
        <v>7</v>
      </c>
      <c r="G9" s="1">
        <v>4</v>
      </c>
      <c r="H9" s="1">
        <v>6</v>
      </c>
      <c r="I9" s="1">
        <v>1</v>
      </c>
      <c r="J9" s="1">
        <v>5</v>
      </c>
      <c r="K9" s="1" t="s">
        <v>23</v>
      </c>
      <c r="L9" s="1" t="s">
        <v>58</v>
      </c>
      <c r="M9" s="1" t="s">
        <v>25</v>
      </c>
      <c r="N9" s="1" t="s">
        <v>26</v>
      </c>
      <c r="O9" s="1" t="s">
        <v>45</v>
      </c>
      <c r="P9" s="1">
        <f>CHOOSE(MATCH(O9,{"Less than 1 year","1-3 years","3-5 years","More than 5 years"},0),1,2,3,4)</f>
        <v>3</v>
      </c>
      <c r="Q9" s="1" t="s">
        <v>28</v>
      </c>
      <c r="R9" s="1" t="s">
        <v>29</v>
      </c>
      <c r="S9" s="1" t="s">
        <v>30</v>
      </c>
      <c r="T9" s="1" t="s">
        <v>31</v>
      </c>
      <c r="U9" s="1" t="s">
        <v>25</v>
      </c>
      <c r="V9" s="1" t="s">
        <v>32</v>
      </c>
      <c r="W9" s="1" t="s">
        <v>49</v>
      </c>
      <c r="X9" s="1" t="s">
        <v>57</v>
      </c>
      <c r="Y9" s="1" t="s">
        <v>35</v>
      </c>
    </row>
    <row r="10" spans="1:25" x14ac:dyDescent="0.35">
      <c r="A10" s="1" t="s">
        <v>44</v>
      </c>
      <c r="B10" s="1">
        <v>35</v>
      </c>
      <c r="C10" s="1" t="s">
        <v>23</v>
      </c>
      <c r="D10" s="1">
        <v>2</v>
      </c>
      <c r="E10" s="1">
        <v>4</v>
      </c>
      <c r="F10" s="1">
        <v>7</v>
      </c>
      <c r="G10" s="1">
        <v>5</v>
      </c>
      <c r="H10" s="1">
        <v>3</v>
      </c>
      <c r="I10" s="1">
        <v>1</v>
      </c>
      <c r="J10" s="1">
        <v>6</v>
      </c>
      <c r="K10" s="1" t="s">
        <v>23</v>
      </c>
      <c r="L10" s="1" t="s">
        <v>24</v>
      </c>
      <c r="M10" s="1" t="s">
        <v>61</v>
      </c>
      <c r="N10" s="1" t="s">
        <v>62</v>
      </c>
      <c r="O10" s="1" t="s">
        <v>27</v>
      </c>
      <c r="P10" s="1">
        <f>CHOOSE(MATCH(O10,{"Less than 1 year","1-3 years","3-5 years","More than 5 years"},0),1,2,3,4)</f>
        <v>2</v>
      </c>
      <c r="Q10" s="1" t="s">
        <v>39</v>
      </c>
      <c r="R10" s="1" t="s">
        <v>29</v>
      </c>
      <c r="S10" s="1" t="s">
        <v>47</v>
      </c>
      <c r="T10" s="1" t="s">
        <v>31</v>
      </c>
      <c r="U10" s="1" t="s">
        <v>25</v>
      </c>
      <c r="V10" s="1" t="s">
        <v>54</v>
      </c>
      <c r="W10" s="1" t="s">
        <v>33</v>
      </c>
      <c r="X10" s="1" t="s">
        <v>34</v>
      </c>
      <c r="Y10" s="1" t="s">
        <v>50</v>
      </c>
    </row>
    <row r="11" spans="1:25" x14ac:dyDescent="0.35">
      <c r="A11" s="1" t="s">
        <v>44</v>
      </c>
      <c r="B11" s="1">
        <v>31</v>
      </c>
      <c r="C11" s="1" t="s">
        <v>23</v>
      </c>
      <c r="D11" s="1">
        <v>1</v>
      </c>
      <c r="E11" s="1">
        <v>3</v>
      </c>
      <c r="F11" s="1">
        <v>7</v>
      </c>
      <c r="G11" s="1">
        <v>4</v>
      </c>
      <c r="H11" s="1">
        <v>5</v>
      </c>
      <c r="I11" s="1">
        <v>2</v>
      </c>
      <c r="J11" s="1">
        <v>6</v>
      </c>
      <c r="K11" s="1" t="s">
        <v>23</v>
      </c>
      <c r="L11" s="1" t="s">
        <v>24</v>
      </c>
      <c r="M11" s="1" t="s">
        <v>25</v>
      </c>
      <c r="N11" s="1" t="s">
        <v>26</v>
      </c>
      <c r="O11" s="1" t="s">
        <v>45</v>
      </c>
      <c r="P11" s="1">
        <f>CHOOSE(MATCH(O11,{"Less than 1 year","1-3 years","3-5 years","More than 5 years"},0),1,2,3,4)</f>
        <v>3</v>
      </c>
      <c r="Q11" s="1" t="s">
        <v>28</v>
      </c>
      <c r="R11" s="1" t="s">
        <v>59</v>
      </c>
      <c r="S11" s="1" t="s">
        <v>63</v>
      </c>
      <c r="T11" s="1" t="s">
        <v>31</v>
      </c>
      <c r="U11" s="1" t="s">
        <v>25</v>
      </c>
      <c r="V11" s="1" t="s">
        <v>54</v>
      </c>
      <c r="W11" s="1" t="s">
        <v>49</v>
      </c>
      <c r="X11" s="1" t="s">
        <v>34</v>
      </c>
      <c r="Y11" s="1" t="s">
        <v>35</v>
      </c>
    </row>
    <row r="12" spans="1:25" x14ac:dyDescent="0.35">
      <c r="A12" s="1" t="s">
        <v>22</v>
      </c>
      <c r="B12" s="1">
        <v>35</v>
      </c>
      <c r="C12" s="1" t="s">
        <v>23</v>
      </c>
      <c r="D12" s="1">
        <v>2</v>
      </c>
      <c r="E12" s="1">
        <v>4</v>
      </c>
      <c r="F12" s="1">
        <v>7</v>
      </c>
      <c r="G12" s="1">
        <v>5</v>
      </c>
      <c r="H12" s="1">
        <v>3</v>
      </c>
      <c r="I12" s="1">
        <v>1</v>
      </c>
      <c r="J12" s="1">
        <v>6</v>
      </c>
      <c r="K12" s="1" t="s">
        <v>23</v>
      </c>
      <c r="L12" s="1" t="s">
        <v>58</v>
      </c>
      <c r="M12" s="1" t="s">
        <v>61</v>
      </c>
      <c r="N12" s="1" t="s">
        <v>62</v>
      </c>
      <c r="O12" s="1" t="s">
        <v>45</v>
      </c>
      <c r="P12" s="1">
        <f>CHOOSE(MATCH(O12,{"Less than 1 year","1-3 years","3-5 years","More than 5 years"},0),1,2,3,4)</f>
        <v>3</v>
      </c>
      <c r="Q12" s="1" t="s">
        <v>28</v>
      </c>
      <c r="R12" s="1" t="s">
        <v>29</v>
      </c>
      <c r="S12" s="1" t="s">
        <v>30</v>
      </c>
      <c r="T12" s="1" t="s">
        <v>31</v>
      </c>
      <c r="U12" s="1" t="s">
        <v>25</v>
      </c>
      <c r="V12" s="1" t="s">
        <v>32</v>
      </c>
      <c r="W12" s="1" t="s">
        <v>49</v>
      </c>
      <c r="X12" s="1" t="s">
        <v>57</v>
      </c>
      <c r="Y12" s="1" t="s">
        <v>43</v>
      </c>
    </row>
    <row r="13" spans="1:25" x14ac:dyDescent="0.35">
      <c r="A13" s="1" t="s">
        <v>44</v>
      </c>
      <c r="B13" s="1">
        <v>29</v>
      </c>
      <c r="C13" s="1" t="s">
        <v>23</v>
      </c>
      <c r="D13" s="1">
        <v>2</v>
      </c>
      <c r="E13" s="1">
        <v>5</v>
      </c>
      <c r="F13" s="1">
        <v>7</v>
      </c>
      <c r="G13" s="1">
        <v>6</v>
      </c>
      <c r="H13" s="1">
        <v>3</v>
      </c>
      <c r="I13" s="1">
        <v>1</v>
      </c>
      <c r="J13" s="1">
        <v>4</v>
      </c>
      <c r="K13" s="1" t="s">
        <v>23</v>
      </c>
      <c r="L13" s="1" t="s">
        <v>58</v>
      </c>
      <c r="M13" s="1" t="s">
        <v>25</v>
      </c>
      <c r="N13" s="1" t="s">
        <v>26</v>
      </c>
      <c r="O13" s="1" t="s">
        <v>27</v>
      </c>
      <c r="P13" s="1">
        <f>CHOOSE(MATCH(O13,{"Less than 1 year","1-3 years","3-5 years","More than 5 years"},0),1,2,3,4)</f>
        <v>2</v>
      </c>
      <c r="Q13" s="1" t="s">
        <v>28</v>
      </c>
      <c r="R13" s="1" t="s">
        <v>29</v>
      </c>
      <c r="S13" s="1" t="s">
        <v>30</v>
      </c>
      <c r="T13" s="1" t="s">
        <v>31</v>
      </c>
      <c r="U13" s="1" t="s">
        <v>25</v>
      </c>
      <c r="V13" s="1" t="s">
        <v>54</v>
      </c>
      <c r="W13" s="1" t="s">
        <v>49</v>
      </c>
      <c r="X13" s="1" t="s">
        <v>34</v>
      </c>
      <c r="Y13" s="1" t="s">
        <v>43</v>
      </c>
    </row>
    <row r="14" spans="1:25" x14ac:dyDescent="0.35">
      <c r="A14" s="1" t="s">
        <v>22</v>
      </c>
      <c r="B14" s="1">
        <v>21</v>
      </c>
      <c r="C14" s="1" t="s">
        <v>36</v>
      </c>
      <c r="D14" s="1">
        <v>1</v>
      </c>
      <c r="E14" s="1">
        <v>2</v>
      </c>
      <c r="F14" s="1">
        <v>3</v>
      </c>
      <c r="G14" s="1">
        <v>4</v>
      </c>
      <c r="H14" s="1">
        <v>5</v>
      </c>
      <c r="I14" s="1">
        <v>6</v>
      </c>
      <c r="J14" s="1">
        <v>7</v>
      </c>
      <c r="K14" s="1" t="s">
        <v>36</v>
      </c>
      <c r="L14" s="1" t="s">
        <v>24</v>
      </c>
      <c r="M14" s="1" t="s">
        <v>25</v>
      </c>
      <c r="N14" s="1" t="s">
        <v>62</v>
      </c>
      <c r="O14" s="1" t="s">
        <v>27</v>
      </c>
      <c r="P14" s="1">
        <f>CHOOSE(MATCH(O14,{"Less than 1 year","1-3 years","3-5 years","More than 5 years"},0),1,2,3,4)</f>
        <v>2</v>
      </c>
      <c r="Q14" s="1" t="s">
        <v>39</v>
      </c>
      <c r="R14" s="1" t="s">
        <v>29</v>
      </c>
      <c r="S14" s="1" t="s">
        <v>30</v>
      </c>
      <c r="T14" s="1" t="s">
        <v>64</v>
      </c>
      <c r="U14" s="1" t="s">
        <v>41</v>
      </c>
      <c r="V14" s="1" t="s">
        <v>32</v>
      </c>
      <c r="W14" s="1" t="s">
        <v>33</v>
      </c>
      <c r="X14" s="1" t="s">
        <v>57</v>
      </c>
      <c r="Y14" s="1" t="s">
        <v>56</v>
      </c>
    </row>
    <row r="15" spans="1:25" x14ac:dyDescent="0.35">
      <c r="A15" s="1" t="s">
        <v>22</v>
      </c>
      <c r="B15" s="1">
        <v>28</v>
      </c>
      <c r="C15" s="1" t="s">
        <v>23</v>
      </c>
      <c r="D15" s="1">
        <v>2</v>
      </c>
      <c r="E15" s="1">
        <v>3</v>
      </c>
      <c r="F15" s="1">
        <v>7</v>
      </c>
      <c r="G15" s="1">
        <v>4</v>
      </c>
      <c r="H15" s="1">
        <v>5</v>
      </c>
      <c r="I15" s="1">
        <v>1</v>
      </c>
      <c r="J15" s="1">
        <v>6</v>
      </c>
      <c r="K15" s="1" t="s">
        <v>23</v>
      </c>
      <c r="L15" s="1" t="s">
        <v>24</v>
      </c>
      <c r="M15" s="1" t="s">
        <v>25</v>
      </c>
      <c r="N15" s="1" t="s">
        <v>26</v>
      </c>
      <c r="O15" s="1" t="s">
        <v>27</v>
      </c>
      <c r="P15" s="1">
        <f>CHOOSE(MATCH(O15,{"Less than 1 year","1-3 years","3-5 years","More than 5 years"},0),1,2,3,4)</f>
        <v>2</v>
      </c>
      <c r="Q15" s="1" t="s">
        <v>28</v>
      </c>
      <c r="R15" s="1" t="s">
        <v>29</v>
      </c>
      <c r="S15" s="1" t="s">
        <v>30</v>
      </c>
      <c r="T15" s="1" t="s">
        <v>31</v>
      </c>
      <c r="U15" s="1" t="s">
        <v>25</v>
      </c>
      <c r="V15" s="1" t="s">
        <v>54</v>
      </c>
      <c r="W15" s="1" t="s">
        <v>49</v>
      </c>
      <c r="X15" s="1" t="s">
        <v>57</v>
      </c>
      <c r="Y15" s="1" t="s">
        <v>35</v>
      </c>
    </row>
    <row r="16" spans="1:25" x14ac:dyDescent="0.35">
      <c r="A16" s="1" t="s">
        <v>22</v>
      </c>
      <c r="B16" s="1">
        <v>25</v>
      </c>
      <c r="C16" s="1" t="s">
        <v>23</v>
      </c>
      <c r="D16" s="1">
        <v>2</v>
      </c>
      <c r="E16" s="1">
        <v>3</v>
      </c>
      <c r="F16" s="1">
        <v>7</v>
      </c>
      <c r="G16" s="1">
        <v>5</v>
      </c>
      <c r="H16" s="1">
        <v>4</v>
      </c>
      <c r="I16" s="1">
        <v>1</v>
      </c>
      <c r="J16" s="1">
        <v>6</v>
      </c>
      <c r="K16" s="1" t="s">
        <v>23</v>
      </c>
      <c r="L16" s="1" t="s">
        <v>24</v>
      </c>
      <c r="M16" s="1" t="s">
        <v>25</v>
      </c>
      <c r="N16" s="1" t="s">
        <v>26</v>
      </c>
      <c r="O16" s="1" t="s">
        <v>27</v>
      </c>
      <c r="P16" s="1">
        <f>CHOOSE(MATCH(O16,{"Less than 1 year","1-3 years","3-5 years","More than 5 years"},0),1,2,3,4)</f>
        <v>2</v>
      </c>
      <c r="Q16" s="1" t="s">
        <v>28</v>
      </c>
      <c r="R16" s="1" t="s">
        <v>29</v>
      </c>
      <c r="S16" s="1" t="s">
        <v>63</v>
      </c>
      <c r="T16" s="1" t="s">
        <v>40</v>
      </c>
      <c r="U16" s="1" t="s">
        <v>41</v>
      </c>
      <c r="V16" s="1" t="s">
        <v>32</v>
      </c>
      <c r="W16" s="1" t="s">
        <v>49</v>
      </c>
      <c r="X16" s="1" t="s">
        <v>57</v>
      </c>
      <c r="Y16" s="1" t="s">
        <v>43</v>
      </c>
    </row>
    <row r="17" spans="1:25" x14ac:dyDescent="0.35">
      <c r="A17" s="1" t="s">
        <v>44</v>
      </c>
      <c r="B17" s="1">
        <v>27</v>
      </c>
      <c r="C17" s="1" t="s">
        <v>23</v>
      </c>
      <c r="D17" s="1">
        <v>2</v>
      </c>
      <c r="E17" s="1">
        <v>3</v>
      </c>
      <c r="F17" s="1">
        <v>7</v>
      </c>
      <c r="G17" s="1">
        <v>5</v>
      </c>
      <c r="H17" s="1">
        <v>4</v>
      </c>
      <c r="I17" s="1">
        <v>1</v>
      </c>
      <c r="J17" s="1">
        <v>6</v>
      </c>
      <c r="K17" s="1" t="s">
        <v>23</v>
      </c>
      <c r="L17" s="1" t="s">
        <v>24</v>
      </c>
      <c r="M17" s="1" t="s">
        <v>25</v>
      </c>
      <c r="N17" s="1" t="s">
        <v>26</v>
      </c>
      <c r="O17" s="1" t="s">
        <v>27</v>
      </c>
      <c r="P17" s="1">
        <f>CHOOSE(MATCH(O17,{"Less than 1 year","1-3 years","3-5 years","More than 5 years"},0),1,2,3,4)</f>
        <v>2</v>
      </c>
      <c r="Q17" s="1" t="s">
        <v>28</v>
      </c>
      <c r="R17" s="1" t="s">
        <v>29</v>
      </c>
      <c r="S17" s="1" t="s">
        <v>30</v>
      </c>
      <c r="T17" s="1" t="s">
        <v>40</v>
      </c>
      <c r="U17" s="1" t="s">
        <v>25</v>
      </c>
      <c r="V17" s="1" t="s">
        <v>54</v>
      </c>
      <c r="W17" s="1" t="s">
        <v>49</v>
      </c>
      <c r="X17" s="1" t="s">
        <v>57</v>
      </c>
      <c r="Y17" s="1" t="s">
        <v>35</v>
      </c>
    </row>
    <row r="18" spans="1:25" x14ac:dyDescent="0.35">
      <c r="A18" s="1" t="s">
        <v>22</v>
      </c>
      <c r="B18" s="1">
        <v>28</v>
      </c>
      <c r="C18" s="1" t="s">
        <v>23</v>
      </c>
      <c r="D18" s="1">
        <v>3</v>
      </c>
      <c r="E18" s="1">
        <v>2</v>
      </c>
      <c r="F18" s="1">
        <v>7</v>
      </c>
      <c r="G18" s="1">
        <v>5</v>
      </c>
      <c r="H18" s="1">
        <v>4</v>
      </c>
      <c r="I18" s="1">
        <v>1</v>
      </c>
      <c r="J18" s="1">
        <v>6</v>
      </c>
      <c r="K18" s="1" t="s">
        <v>23</v>
      </c>
      <c r="L18" s="1" t="s">
        <v>58</v>
      </c>
      <c r="M18" s="1" t="s">
        <v>61</v>
      </c>
      <c r="N18" s="1" t="s">
        <v>26</v>
      </c>
      <c r="O18" s="1" t="s">
        <v>27</v>
      </c>
      <c r="P18" s="1">
        <f>CHOOSE(MATCH(O18,{"Less than 1 year","1-3 years","3-5 years","More than 5 years"},0),1,2,3,4)</f>
        <v>2</v>
      </c>
      <c r="Q18" s="1" t="s">
        <v>28</v>
      </c>
      <c r="R18" s="1" t="s">
        <v>29</v>
      </c>
      <c r="S18" s="1" t="s">
        <v>63</v>
      </c>
      <c r="T18" s="1" t="s">
        <v>40</v>
      </c>
      <c r="U18" s="1" t="s">
        <v>25</v>
      </c>
      <c r="V18" s="1" t="s">
        <v>54</v>
      </c>
      <c r="W18" s="1" t="s">
        <v>49</v>
      </c>
      <c r="X18" s="1" t="s">
        <v>57</v>
      </c>
      <c r="Y18" s="1" t="s">
        <v>50</v>
      </c>
    </row>
    <row r="19" spans="1:25" x14ac:dyDescent="0.35">
      <c r="A19" s="1" t="s">
        <v>44</v>
      </c>
      <c r="B19" s="1">
        <v>27</v>
      </c>
      <c r="C19" s="1" t="s">
        <v>23</v>
      </c>
      <c r="D19" s="1">
        <v>3</v>
      </c>
      <c r="E19" s="1">
        <v>2</v>
      </c>
      <c r="F19" s="1">
        <v>7</v>
      </c>
      <c r="G19" s="1">
        <v>4</v>
      </c>
      <c r="H19" s="1">
        <v>5</v>
      </c>
      <c r="I19" s="1">
        <v>1</v>
      </c>
      <c r="J19" s="1">
        <v>6</v>
      </c>
      <c r="K19" s="1" t="s">
        <v>23</v>
      </c>
      <c r="L19" s="1" t="s">
        <v>24</v>
      </c>
      <c r="M19" s="1" t="s">
        <v>25</v>
      </c>
      <c r="N19" s="1" t="s">
        <v>26</v>
      </c>
      <c r="O19" s="1" t="s">
        <v>27</v>
      </c>
      <c r="P19" s="1">
        <f>CHOOSE(MATCH(O19,{"Less than 1 year","1-3 years","3-5 years","More than 5 years"},0),1,2,3,4)</f>
        <v>2</v>
      </c>
      <c r="Q19" s="1" t="s">
        <v>28</v>
      </c>
      <c r="R19" s="1" t="s">
        <v>29</v>
      </c>
      <c r="S19" s="1" t="s">
        <v>30</v>
      </c>
      <c r="T19" s="1" t="s">
        <v>31</v>
      </c>
      <c r="U19" s="1" t="s">
        <v>25</v>
      </c>
      <c r="V19" s="1" t="s">
        <v>32</v>
      </c>
      <c r="W19" s="1" t="s">
        <v>49</v>
      </c>
      <c r="X19" s="1" t="s">
        <v>57</v>
      </c>
      <c r="Y19" s="1" t="s">
        <v>43</v>
      </c>
    </row>
    <row r="20" spans="1:25" x14ac:dyDescent="0.35">
      <c r="A20" s="1" t="s">
        <v>44</v>
      </c>
      <c r="B20" s="1">
        <v>29</v>
      </c>
      <c r="C20" s="1" t="s">
        <v>23</v>
      </c>
      <c r="D20" s="1">
        <v>3</v>
      </c>
      <c r="E20" s="1">
        <v>2</v>
      </c>
      <c r="F20" s="1">
        <v>7</v>
      </c>
      <c r="G20" s="1">
        <v>4</v>
      </c>
      <c r="H20" s="1">
        <v>5</v>
      </c>
      <c r="I20" s="1">
        <v>1</v>
      </c>
      <c r="J20" s="1">
        <v>6</v>
      </c>
      <c r="K20" s="1" t="s">
        <v>23</v>
      </c>
      <c r="L20" s="1" t="s">
        <v>58</v>
      </c>
      <c r="M20" s="1" t="s">
        <v>25</v>
      </c>
      <c r="N20" s="1" t="s">
        <v>26</v>
      </c>
      <c r="O20" s="1" t="s">
        <v>27</v>
      </c>
      <c r="P20" s="1">
        <f>CHOOSE(MATCH(O20,{"Less than 1 year","1-3 years","3-5 years","More than 5 years"},0),1,2,3,4)</f>
        <v>2</v>
      </c>
      <c r="Q20" s="1" t="s">
        <v>28</v>
      </c>
      <c r="R20" s="1" t="s">
        <v>29</v>
      </c>
      <c r="S20" s="1" t="s">
        <v>30</v>
      </c>
      <c r="T20" s="1" t="s">
        <v>31</v>
      </c>
      <c r="U20" s="1" t="s">
        <v>25</v>
      </c>
      <c r="V20" s="1" t="s">
        <v>32</v>
      </c>
      <c r="W20" s="1" t="s">
        <v>49</v>
      </c>
      <c r="X20" s="1" t="s">
        <v>57</v>
      </c>
      <c r="Y20" s="1" t="s">
        <v>35</v>
      </c>
    </row>
    <row r="21" spans="1:25" x14ac:dyDescent="0.35">
      <c r="A21" s="1" t="s">
        <v>44</v>
      </c>
      <c r="B21" s="1">
        <v>26</v>
      </c>
      <c r="C21" s="1" t="s">
        <v>23</v>
      </c>
      <c r="D21" s="1">
        <v>3</v>
      </c>
      <c r="E21" s="1">
        <v>4</v>
      </c>
      <c r="F21" s="1">
        <v>6</v>
      </c>
      <c r="G21" s="1">
        <v>5</v>
      </c>
      <c r="H21" s="1">
        <v>1</v>
      </c>
      <c r="I21" s="1">
        <v>2</v>
      </c>
      <c r="J21" s="1">
        <v>7</v>
      </c>
      <c r="K21" s="1" t="s">
        <v>23</v>
      </c>
      <c r="L21" s="1" t="s">
        <v>58</v>
      </c>
      <c r="M21" s="1" t="s">
        <v>25</v>
      </c>
      <c r="N21" s="1" t="s">
        <v>26</v>
      </c>
      <c r="O21" s="1" t="s">
        <v>45</v>
      </c>
      <c r="P21" s="1">
        <f>CHOOSE(MATCH(O21,{"Less than 1 year","1-3 years","3-5 years","More than 5 years"},0),1,2,3,4)</f>
        <v>3</v>
      </c>
      <c r="Q21" s="1" t="s">
        <v>28</v>
      </c>
      <c r="R21" s="1" t="s">
        <v>29</v>
      </c>
      <c r="S21" s="1" t="s">
        <v>63</v>
      </c>
      <c r="T21" s="1" t="s">
        <v>40</v>
      </c>
      <c r="U21" s="1" t="s">
        <v>25</v>
      </c>
      <c r="V21" s="1" t="s">
        <v>54</v>
      </c>
      <c r="W21" s="1" t="s">
        <v>49</v>
      </c>
      <c r="X21" s="1" t="s">
        <v>57</v>
      </c>
      <c r="Y21" s="1" t="s">
        <v>35</v>
      </c>
    </row>
    <row r="22" spans="1:25" x14ac:dyDescent="0.35">
      <c r="A22" s="1" t="s">
        <v>44</v>
      </c>
      <c r="B22" s="1">
        <v>29</v>
      </c>
      <c r="C22" s="1" t="s">
        <v>23</v>
      </c>
      <c r="D22" s="1">
        <v>2</v>
      </c>
      <c r="E22" s="1">
        <v>4</v>
      </c>
      <c r="F22" s="1">
        <v>7</v>
      </c>
      <c r="G22" s="1">
        <v>5</v>
      </c>
      <c r="H22" s="1">
        <v>3</v>
      </c>
      <c r="I22" s="1">
        <v>1</v>
      </c>
      <c r="J22" s="1">
        <v>6</v>
      </c>
      <c r="K22" s="1" t="s">
        <v>23</v>
      </c>
      <c r="L22" s="1" t="s">
        <v>24</v>
      </c>
      <c r="M22" s="1" t="s">
        <v>61</v>
      </c>
      <c r="N22" s="1" t="s">
        <v>26</v>
      </c>
      <c r="O22" s="1" t="s">
        <v>45</v>
      </c>
      <c r="P22" s="1">
        <f>CHOOSE(MATCH(O22,{"Less than 1 year","1-3 years","3-5 years","More than 5 years"},0),1,2,3,4)</f>
        <v>3</v>
      </c>
      <c r="Q22" s="1" t="s">
        <v>39</v>
      </c>
      <c r="R22" s="1" t="s">
        <v>29</v>
      </c>
      <c r="S22" s="1" t="s">
        <v>30</v>
      </c>
      <c r="T22" s="1" t="s">
        <v>31</v>
      </c>
      <c r="U22" s="1" t="s">
        <v>25</v>
      </c>
      <c r="V22" s="1" t="s">
        <v>32</v>
      </c>
      <c r="W22" s="1" t="s">
        <v>49</v>
      </c>
      <c r="X22" s="1" t="s">
        <v>34</v>
      </c>
      <c r="Y22" s="1" t="s">
        <v>43</v>
      </c>
    </row>
    <row r="23" spans="1:25" x14ac:dyDescent="0.35">
      <c r="A23" s="1" t="s">
        <v>22</v>
      </c>
      <c r="B23" s="1">
        <v>24</v>
      </c>
      <c r="C23" s="1" t="s">
        <v>23</v>
      </c>
      <c r="D23" s="1">
        <v>2</v>
      </c>
      <c r="E23" s="1">
        <v>4</v>
      </c>
      <c r="F23" s="1">
        <v>5</v>
      </c>
      <c r="G23" s="1">
        <v>6</v>
      </c>
      <c r="H23" s="1">
        <v>3</v>
      </c>
      <c r="I23" s="1">
        <v>1</v>
      </c>
      <c r="J23" s="1">
        <v>7</v>
      </c>
      <c r="K23" s="1" t="s">
        <v>23</v>
      </c>
      <c r="L23" s="1" t="s">
        <v>58</v>
      </c>
      <c r="M23" s="1" t="s">
        <v>25</v>
      </c>
      <c r="N23" s="1" t="s">
        <v>26</v>
      </c>
      <c r="O23" s="1" t="s">
        <v>45</v>
      </c>
      <c r="P23" s="1">
        <f>CHOOSE(MATCH(O23,{"Less than 1 year","1-3 years","3-5 years","More than 5 years"},0),1,2,3,4)</f>
        <v>3</v>
      </c>
      <c r="Q23" s="1" t="s">
        <v>28</v>
      </c>
      <c r="R23" s="1" t="s">
        <v>29</v>
      </c>
      <c r="S23" s="1" t="s">
        <v>47</v>
      </c>
      <c r="T23" s="1" t="s">
        <v>40</v>
      </c>
      <c r="U23" s="1" t="s">
        <v>25</v>
      </c>
      <c r="V23" s="1" t="s">
        <v>32</v>
      </c>
      <c r="W23" s="1" t="s">
        <v>49</v>
      </c>
      <c r="X23" s="1" t="s">
        <v>57</v>
      </c>
      <c r="Y23" s="1" t="s">
        <v>35</v>
      </c>
    </row>
    <row r="24" spans="1:25" x14ac:dyDescent="0.35">
      <c r="A24" s="1" t="s">
        <v>44</v>
      </c>
      <c r="B24" s="1">
        <v>27</v>
      </c>
      <c r="C24" s="1" t="s">
        <v>23</v>
      </c>
      <c r="D24" s="1">
        <v>3</v>
      </c>
      <c r="E24" s="1">
        <v>4</v>
      </c>
      <c r="F24" s="1">
        <v>6</v>
      </c>
      <c r="G24" s="1">
        <v>5</v>
      </c>
      <c r="H24" s="1">
        <v>2</v>
      </c>
      <c r="I24" s="1">
        <v>1</v>
      </c>
      <c r="J24" s="1">
        <v>7</v>
      </c>
      <c r="K24" s="1" t="s">
        <v>23</v>
      </c>
      <c r="L24" s="1" t="s">
        <v>24</v>
      </c>
      <c r="M24" s="1" t="s">
        <v>25</v>
      </c>
      <c r="N24" s="1" t="s">
        <v>26</v>
      </c>
      <c r="O24" s="1" t="s">
        <v>45</v>
      </c>
      <c r="P24" s="1">
        <f>CHOOSE(MATCH(O24,{"Less than 1 year","1-3 years","3-5 years","More than 5 years"},0),1,2,3,4)</f>
        <v>3</v>
      </c>
      <c r="Q24" s="1" t="s">
        <v>28</v>
      </c>
      <c r="R24" s="1" t="s">
        <v>29</v>
      </c>
      <c r="S24" s="1" t="s">
        <v>30</v>
      </c>
      <c r="T24" s="1" t="s">
        <v>31</v>
      </c>
      <c r="U24" s="1" t="s">
        <v>25</v>
      </c>
      <c r="V24" s="1" t="s">
        <v>32</v>
      </c>
      <c r="W24" s="1" t="s">
        <v>49</v>
      </c>
      <c r="X24" s="1" t="s">
        <v>57</v>
      </c>
      <c r="Y24" s="1" t="s">
        <v>43</v>
      </c>
    </row>
    <row r="25" spans="1:25" x14ac:dyDescent="0.35">
      <c r="A25" s="1" t="s">
        <v>44</v>
      </c>
      <c r="B25" s="1">
        <v>25</v>
      </c>
      <c r="C25" s="1" t="s">
        <v>23</v>
      </c>
      <c r="D25" s="1">
        <v>2</v>
      </c>
      <c r="E25" s="1">
        <v>4</v>
      </c>
      <c r="F25" s="1">
        <v>6</v>
      </c>
      <c r="G25" s="1">
        <v>5</v>
      </c>
      <c r="H25" s="1">
        <v>3</v>
      </c>
      <c r="I25" s="1">
        <v>1</v>
      </c>
      <c r="J25" s="1">
        <v>7</v>
      </c>
      <c r="K25" s="1" t="s">
        <v>23</v>
      </c>
      <c r="L25" s="1" t="s">
        <v>58</v>
      </c>
      <c r="M25" s="1" t="s">
        <v>61</v>
      </c>
      <c r="N25" s="1" t="s">
        <v>62</v>
      </c>
      <c r="O25" s="1" t="s">
        <v>45</v>
      </c>
      <c r="P25" s="1">
        <f>CHOOSE(MATCH(O25,{"Less than 1 year","1-3 years","3-5 years","More than 5 years"},0),1,2,3,4)</f>
        <v>3</v>
      </c>
      <c r="Q25" s="1" t="s">
        <v>39</v>
      </c>
      <c r="R25" s="1" t="s">
        <v>29</v>
      </c>
      <c r="S25" s="1" t="s">
        <v>65</v>
      </c>
      <c r="T25" s="1" t="s">
        <v>40</v>
      </c>
      <c r="U25" s="1" t="s">
        <v>60</v>
      </c>
      <c r="V25" s="1" t="s">
        <v>32</v>
      </c>
      <c r="W25" s="1" t="s">
        <v>49</v>
      </c>
      <c r="X25" s="1" t="s">
        <v>57</v>
      </c>
      <c r="Y25" s="1" t="s">
        <v>43</v>
      </c>
    </row>
    <row r="26" spans="1:25" x14ac:dyDescent="0.35">
      <c r="A26" s="1" t="s">
        <v>22</v>
      </c>
      <c r="B26" s="1">
        <v>26</v>
      </c>
      <c r="C26" s="1" t="s">
        <v>23</v>
      </c>
      <c r="D26" s="1">
        <v>2</v>
      </c>
      <c r="E26" s="1">
        <v>3</v>
      </c>
      <c r="F26" s="1">
        <v>7</v>
      </c>
      <c r="G26" s="1">
        <v>5</v>
      </c>
      <c r="H26" s="1">
        <v>4</v>
      </c>
      <c r="I26" s="1">
        <v>1</v>
      </c>
      <c r="J26" s="1">
        <v>6</v>
      </c>
      <c r="K26" s="1" t="s">
        <v>23</v>
      </c>
      <c r="L26" s="1" t="s">
        <v>24</v>
      </c>
      <c r="M26" s="1" t="s">
        <v>25</v>
      </c>
      <c r="N26" s="1" t="s">
        <v>26</v>
      </c>
      <c r="O26" s="1" t="s">
        <v>45</v>
      </c>
      <c r="P26" s="1">
        <f>CHOOSE(MATCH(O26,{"Less than 1 year","1-3 years","3-5 years","More than 5 years"},0),1,2,3,4)</f>
        <v>3</v>
      </c>
      <c r="Q26" s="1" t="s">
        <v>28</v>
      </c>
      <c r="R26" s="1" t="s">
        <v>59</v>
      </c>
      <c r="S26" s="1" t="s">
        <v>65</v>
      </c>
      <c r="T26" s="1" t="s">
        <v>31</v>
      </c>
      <c r="U26" s="1" t="s">
        <v>25</v>
      </c>
      <c r="V26" s="1" t="s">
        <v>32</v>
      </c>
      <c r="W26" s="1" t="s">
        <v>49</v>
      </c>
      <c r="X26" s="1" t="s">
        <v>57</v>
      </c>
      <c r="Y26" s="1" t="s">
        <v>35</v>
      </c>
    </row>
    <row r="27" spans="1:25" x14ac:dyDescent="0.35">
      <c r="A27" s="1" t="s">
        <v>22</v>
      </c>
      <c r="B27" s="1">
        <v>32</v>
      </c>
      <c r="C27" s="1" t="s">
        <v>23</v>
      </c>
      <c r="D27" s="1">
        <v>3</v>
      </c>
      <c r="E27" s="1">
        <v>4</v>
      </c>
      <c r="F27" s="1">
        <v>7</v>
      </c>
      <c r="G27" s="1">
        <v>5</v>
      </c>
      <c r="H27" s="1">
        <v>1</v>
      </c>
      <c r="I27" s="1">
        <v>2</v>
      </c>
      <c r="J27" s="1">
        <v>6</v>
      </c>
      <c r="K27" s="1" t="s">
        <v>23</v>
      </c>
      <c r="L27" s="1" t="s">
        <v>58</v>
      </c>
      <c r="M27" s="1" t="s">
        <v>61</v>
      </c>
      <c r="N27" s="1" t="s">
        <v>26</v>
      </c>
      <c r="O27" s="1" t="s">
        <v>45</v>
      </c>
      <c r="P27" s="1">
        <f>CHOOSE(MATCH(O27,{"Less than 1 year","1-3 years","3-5 years","More than 5 years"},0),1,2,3,4)</f>
        <v>3</v>
      </c>
      <c r="Q27" s="1" t="s">
        <v>28</v>
      </c>
      <c r="R27" s="1" t="s">
        <v>29</v>
      </c>
      <c r="S27" s="1" t="s">
        <v>30</v>
      </c>
      <c r="T27" s="1" t="s">
        <v>31</v>
      </c>
      <c r="U27" s="1" t="s">
        <v>25</v>
      </c>
      <c r="V27" s="1" t="s">
        <v>32</v>
      </c>
      <c r="W27" s="1" t="s">
        <v>49</v>
      </c>
      <c r="X27" s="1" t="s">
        <v>34</v>
      </c>
      <c r="Y27" s="1" t="s">
        <v>43</v>
      </c>
    </row>
    <row r="28" spans="1:25" x14ac:dyDescent="0.35">
      <c r="A28" s="1" t="s">
        <v>44</v>
      </c>
      <c r="B28" s="1">
        <v>26</v>
      </c>
      <c r="C28" s="1" t="s">
        <v>23</v>
      </c>
      <c r="D28" s="1">
        <v>3</v>
      </c>
      <c r="E28" s="1">
        <v>4</v>
      </c>
      <c r="F28" s="1">
        <v>6</v>
      </c>
      <c r="G28" s="1">
        <v>5</v>
      </c>
      <c r="H28" s="1">
        <v>1</v>
      </c>
      <c r="I28" s="1">
        <v>2</v>
      </c>
      <c r="J28" s="1">
        <v>7</v>
      </c>
      <c r="K28" s="1" t="s">
        <v>23</v>
      </c>
      <c r="L28" s="1" t="s">
        <v>24</v>
      </c>
      <c r="M28" s="1" t="s">
        <v>25</v>
      </c>
      <c r="N28" s="1" t="s">
        <v>26</v>
      </c>
      <c r="O28" s="1" t="s">
        <v>45</v>
      </c>
      <c r="P28" s="1">
        <f>CHOOSE(MATCH(O28,{"Less than 1 year","1-3 years","3-5 years","More than 5 years"},0),1,2,3,4)</f>
        <v>3</v>
      </c>
      <c r="Q28" s="1" t="s">
        <v>28</v>
      </c>
      <c r="R28" s="1" t="s">
        <v>29</v>
      </c>
      <c r="S28" s="1" t="s">
        <v>30</v>
      </c>
      <c r="T28" s="1" t="s">
        <v>31</v>
      </c>
      <c r="U28" s="1" t="s">
        <v>41</v>
      </c>
      <c r="V28" s="1" t="s">
        <v>54</v>
      </c>
      <c r="W28" s="1" t="s">
        <v>49</v>
      </c>
      <c r="X28" s="1" t="s">
        <v>34</v>
      </c>
      <c r="Y28" s="1" t="s">
        <v>43</v>
      </c>
    </row>
    <row r="29" spans="1:25" x14ac:dyDescent="0.35">
      <c r="A29" s="1" t="s">
        <v>44</v>
      </c>
      <c r="B29" s="1">
        <v>31</v>
      </c>
      <c r="C29" s="1" t="s">
        <v>23</v>
      </c>
      <c r="D29" s="1">
        <v>2</v>
      </c>
      <c r="E29" s="1">
        <v>3</v>
      </c>
      <c r="F29" s="1">
        <v>7</v>
      </c>
      <c r="G29" s="1">
        <v>6</v>
      </c>
      <c r="H29" s="1">
        <v>4</v>
      </c>
      <c r="I29" s="1">
        <v>1</v>
      </c>
      <c r="J29" s="1">
        <v>5</v>
      </c>
      <c r="K29" s="1" t="s">
        <v>23</v>
      </c>
      <c r="L29" s="1" t="s">
        <v>58</v>
      </c>
      <c r="M29" s="1" t="s">
        <v>61</v>
      </c>
      <c r="N29" s="1" t="s">
        <v>62</v>
      </c>
      <c r="O29" s="1" t="s">
        <v>27</v>
      </c>
      <c r="P29" s="1">
        <f>CHOOSE(MATCH(O29,{"Less than 1 year","1-3 years","3-5 years","More than 5 years"},0),1,2,3,4)</f>
        <v>2</v>
      </c>
      <c r="Q29" s="1" t="s">
        <v>28</v>
      </c>
      <c r="R29" s="1" t="s">
        <v>29</v>
      </c>
      <c r="S29" s="1" t="s">
        <v>63</v>
      </c>
      <c r="T29" s="1" t="s">
        <v>40</v>
      </c>
      <c r="U29" s="1" t="s">
        <v>25</v>
      </c>
      <c r="V29" s="1" t="s">
        <v>54</v>
      </c>
      <c r="W29" s="1" t="s">
        <v>33</v>
      </c>
      <c r="X29" s="1" t="s">
        <v>34</v>
      </c>
      <c r="Y29" s="1" t="s">
        <v>50</v>
      </c>
    </row>
    <row r="30" spans="1:25" x14ac:dyDescent="0.35">
      <c r="A30" s="1" t="s">
        <v>44</v>
      </c>
      <c r="B30" s="1">
        <v>29</v>
      </c>
      <c r="C30" s="1" t="s">
        <v>23</v>
      </c>
      <c r="D30" s="1">
        <v>2</v>
      </c>
      <c r="E30" s="1">
        <v>3</v>
      </c>
      <c r="F30" s="1">
        <v>6</v>
      </c>
      <c r="G30" s="1">
        <v>5</v>
      </c>
      <c r="H30" s="1">
        <v>1</v>
      </c>
      <c r="I30" s="1">
        <v>4</v>
      </c>
      <c r="J30" s="1">
        <v>7</v>
      </c>
      <c r="K30" s="1" t="s">
        <v>23</v>
      </c>
      <c r="L30" s="1" t="s">
        <v>24</v>
      </c>
      <c r="M30" s="1" t="s">
        <v>25</v>
      </c>
      <c r="N30" s="1" t="s">
        <v>26</v>
      </c>
      <c r="O30" s="1" t="s">
        <v>27</v>
      </c>
      <c r="P30" s="1">
        <f>CHOOSE(MATCH(O30,{"Less than 1 year","1-3 years","3-5 years","More than 5 years"},0),1,2,3,4)</f>
        <v>2</v>
      </c>
      <c r="Q30" s="1" t="s">
        <v>28</v>
      </c>
      <c r="R30" s="1" t="s">
        <v>29</v>
      </c>
      <c r="S30" s="1" t="s">
        <v>47</v>
      </c>
      <c r="T30" s="1" t="s">
        <v>31</v>
      </c>
      <c r="U30" s="1" t="s">
        <v>25</v>
      </c>
      <c r="V30" s="1" t="s">
        <v>32</v>
      </c>
      <c r="W30" s="1" t="s">
        <v>49</v>
      </c>
      <c r="X30" s="1" t="s">
        <v>57</v>
      </c>
      <c r="Y30" s="1" t="s">
        <v>50</v>
      </c>
    </row>
    <row r="31" spans="1:25" x14ac:dyDescent="0.35">
      <c r="A31" s="1" t="s">
        <v>22</v>
      </c>
      <c r="B31" s="1">
        <v>34</v>
      </c>
      <c r="C31" s="1" t="s">
        <v>23</v>
      </c>
      <c r="D31" s="1">
        <v>5</v>
      </c>
      <c r="E31" s="1">
        <v>4</v>
      </c>
      <c r="F31" s="1">
        <v>3</v>
      </c>
      <c r="G31" s="1">
        <v>2</v>
      </c>
      <c r="H31" s="1">
        <v>7</v>
      </c>
      <c r="I31" s="1">
        <v>1</v>
      </c>
      <c r="J31" s="1">
        <v>6</v>
      </c>
      <c r="K31" s="1" t="s">
        <v>23</v>
      </c>
      <c r="L31" s="1" t="s">
        <v>24</v>
      </c>
      <c r="M31" s="1" t="s">
        <v>51</v>
      </c>
      <c r="N31" s="1" t="s">
        <v>24</v>
      </c>
      <c r="O31" s="1" t="s">
        <v>45</v>
      </c>
      <c r="P31" s="1">
        <f>CHOOSE(MATCH(O31,{"Less than 1 year","1-3 years","3-5 years","More than 5 years"},0),1,2,3,4)</f>
        <v>3</v>
      </c>
      <c r="Q31" s="1" t="s">
        <v>28</v>
      </c>
      <c r="R31" s="1" t="s">
        <v>53</v>
      </c>
      <c r="S31" s="1" t="s">
        <v>30</v>
      </c>
      <c r="T31" s="1" t="s">
        <v>31</v>
      </c>
      <c r="U31" s="1" t="s">
        <v>25</v>
      </c>
      <c r="V31" s="1" t="s">
        <v>48</v>
      </c>
      <c r="W31" s="1" t="s">
        <v>33</v>
      </c>
      <c r="X31" s="1" t="s">
        <v>34</v>
      </c>
      <c r="Y31" s="1" t="s">
        <v>35</v>
      </c>
    </row>
    <row r="32" spans="1:25" x14ac:dyDescent="0.35">
      <c r="A32" s="1" t="s">
        <v>44</v>
      </c>
      <c r="B32" s="1">
        <v>27</v>
      </c>
      <c r="C32" s="1" t="s">
        <v>23</v>
      </c>
      <c r="D32" s="1">
        <v>4</v>
      </c>
      <c r="E32" s="1">
        <v>5</v>
      </c>
      <c r="F32" s="1">
        <v>1</v>
      </c>
      <c r="G32" s="1">
        <v>2</v>
      </c>
      <c r="H32" s="1">
        <v>7</v>
      </c>
      <c r="I32" s="1">
        <v>3</v>
      </c>
      <c r="J32" s="1">
        <v>6</v>
      </c>
      <c r="K32" s="1" t="s">
        <v>36</v>
      </c>
      <c r="L32" s="1" t="s">
        <v>24</v>
      </c>
      <c r="M32" s="1" t="s">
        <v>61</v>
      </c>
      <c r="N32" s="1" t="s">
        <v>26</v>
      </c>
      <c r="O32" s="1" t="s">
        <v>27</v>
      </c>
      <c r="P32" s="1">
        <f>CHOOSE(MATCH(O32,{"Less than 1 year","1-3 years","3-5 years","More than 5 years"},0),1,2,3,4)</f>
        <v>2</v>
      </c>
      <c r="Q32" s="1" t="s">
        <v>28</v>
      </c>
      <c r="R32" s="1" t="s">
        <v>53</v>
      </c>
      <c r="S32" s="1" t="s">
        <v>30</v>
      </c>
      <c r="T32" s="1" t="s">
        <v>64</v>
      </c>
      <c r="U32" s="1" t="s">
        <v>25</v>
      </c>
      <c r="V32" s="1" t="s">
        <v>48</v>
      </c>
      <c r="W32" s="1" t="s">
        <v>33</v>
      </c>
      <c r="X32" s="1" t="s">
        <v>34</v>
      </c>
      <c r="Y32" s="1" t="s">
        <v>50</v>
      </c>
    </row>
    <row r="33" spans="1:25" x14ac:dyDescent="0.35">
      <c r="A33" s="1" t="s">
        <v>22</v>
      </c>
      <c r="B33" s="1">
        <v>31</v>
      </c>
      <c r="C33" s="1" t="s">
        <v>23</v>
      </c>
      <c r="D33" s="1">
        <v>2</v>
      </c>
      <c r="E33" s="1">
        <v>4</v>
      </c>
      <c r="F33" s="1">
        <v>7</v>
      </c>
      <c r="G33" s="1">
        <v>6</v>
      </c>
      <c r="H33" s="1">
        <v>3</v>
      </c>
      <c r="I33" s="1">
        <v>1</v>
      </c>
      <c r="J33" s="1">
        <v>5</v>
      </c>
      <c r="K33" s="1" t="s">
        <v>23</v>
      </c>
      <c r="L33" s="1" t="s">
        <v>24</v>
      </c>
      <c r="M33" s="1" t="s">
        <v>25</v>
      </c>
      <c r="N33" s="1" t="s">
        <v>26</v>
      </c>
      <c r="O33" s="1" t="s">
        <v>45</v>
      </c>
      <c r="P33" s="1">
        <f>CHOOSE(MATCH(O33,{"Less than 1 year","1-3 years","3-5 years","More than 5 years"},0),1,2,3,4)</f>
        <v>3</v>
      </c>
      <c r="Q33" s="1" t="s">
        <v>28</v>
      </c>
      <c r="R33" s="1" t="s">
        <v>29</v>
      </c>
      <c r="S33" s="1" t="s">
        <v>63</v>
      </c>
      <c r="T33" s="1" t="s">
        <v>31</v>
      </c>
      <c r="U33" s="1" t="s">
        <v>25</v>
      </c>
      <c r="V33" s="1" t="s">
        <v>32</v>
      </c>
      <c r="W33" s="1" t="s">
        <v>49</v>
      </c>
      <c r="X33" s="1" t="s">
        <v>34</v>
      </c>
      <c r="Y33" s="1" t="s">
        <v>43</v>
      </c>
    </row>
    <row r="34" spans="1:25" x14ac:dyDescent="0.35">
      <c r="A34" s="1" t="s">
        <v>44</v>
      </c>
      <c r="B34" s="1">
        <v>27</v>
      </c>
      <c r="C34" s="1" t="s">
        <v>23</v>
      </c>
      <c r="D34" s="1">
        <v>2</v>
      </c>
      <c r="E34" s="1">
        <v>4</v>
      </c>
      <c r="F34" s="1">
        <v>7</v>
      </c>
      <c r="G34" s="1">
        <v>5</v>
      </c>
      <c r="H34" s="1">
        <v>1</v>
      </c>
      <c r="I34" s="1">
        <v>3</v>
      </c>
      <c r="J34" s="1">
        <v>6</v>
      </c>
      <c r="K34" s="1" t="s">
        <v>23</v>
      </c>
      <c r="L34" s="1" t="s">
        <v>24</v>
      </c>
      <c r="M34" s="1" t="s">
        <v>25</v>
      </c>
      <c r="N34" s="1" t="s">
        <v>26</v>
      </c>
      <c r="O34" s="1" t="s">
        <v>45</v>
      </c>
      <c r="P34" s="1">
        <f>CHOOSE(MATCH(O34,{"Less than 1 year","1-3 years","3-5 years","More than 5 years"},0),1,2,3,4)</f>
        <v>3</v>
      </c>
      <c r="Q34" s="1" t="s">
        <v>28</v>
      </c>
      <c r="R34" s="1" t="s">
        <v>59</v>
      </c>
      <c r="S34" s="1" t="s">
        <v>47</v>
      </c>
      <c r="T34" s="1" t="s">
        <v>40</v>
      </c>
      <c r="U34" s="1" t="s">
        <v>25</v>
      </c>
      <c r="V34" s="1" t="s">
        <v>54</v>
      </c>
      <c r="W34" s="1" t="s">
        <v>49</v>
      </c>
      <c r="X34" s="1" t="s">
        <v>34</v>
      </c>
      <c r="Y34" s="1" t="s">
        <v>35</v>
      </c>
    </row>
    <row r="35" spans="1:25" x14ac:dyDescent="0.35">
      <c r="A35" s="1" t="s">
        <v>44</v>
      </c>
      <c r="B35" s="1">
        <v>26</v>
      </c>
      <c r="C35" s="1" t="s">
        <v>23</v>
      </c>
      <c r="D35" s="1">
        <v>2</v>
      </c>
      <c r="E35" s="1">
        <v>3</v>
      </c>
      <c r="F35" s="1">
        <v>6</v>
      </c>
      <c r="G35" s="1">
        <v>4</v>
      </c>
      <c r="H35" s="1">
        <v>1</v>
      </c>
      <c r="I35" s="1">
        <v>5</v>
      </c>
      <c r="J35" s="1">
        <v>7</v>
      </c>
      <c r="K35" s="1" t="s">
        <v>23</v>
      </c>
      <c r="L35" s="1" t="s">
        <v>24</v>
      </c>
      <c r="M35" s="1" t="s">
        <v>25</v>
      </c>
      <c r="N35" s="1" t="s">
        <v>24</v>
      </c>
      <c r="O35" s="1" t="s">
        <v>27</v>
      </c>
      <c r="P35" s="1">
        <f>CHOOSE(MATCH(O35,{"Less than 1 year","1-3 years","3-5 years","More than 5 years"},0),1,2,3,4)</f>
        <v>2</v>
      </c>
      <c r="Q35" s="1" t="s">
        <v>28</v>
      </c>
      <c r="R35" s="1" t="s">
        <v>29</v>
      </c>
      <c r="S35" s="1" t="s">
        <v>63</v>
      </c>
      <c r="T35" s="1" t="s">
        <v>64</v>
      </c>
      <c r="U35" s="1" t="s">
        <v>41</v>
      </c>
      <c r="V35" s="1" t="s">
        <v>32</v>
      </c>
      <c r="W35" s="1" t="s">
        <v>33</v>
      </c>
      <c r="X35" s="1" t="s">
        <v>57</v>
      </c>
      <c r="Y35" s="1" t="s">
        <v>35</v>
      </c>
    </row>
    <row r="36" spans="1:25" x14ac:dyDescent="0.35">
      <c r="A36" s="1" t="s">
        <v>44</v>
      </c>
      <c r="B36" s="1">
        <v>27</v>
      </c>
      <c r="C36" s="1" t="s">
        <v>23</v>
      </c>
      <c r="D36" s="1">
        <v>2</v>
      </c>
      <c r="E36" s="1">
        <v>3</v>
      </c>
      <c r="F36" s="1">
        <v>6</v>
      </c>
      <c r="G36" s="1">
        <v>5</v>
      </c>
      <c r="H36" s="1">
        <v>4</v>
      </c>
      <c r="I36" s="1">
        <v>1</v>
      </c>
      <c r="J36" s="1">
        <v>7</v>
      </c>
      <c r="K36" s="1" t="s">
        <v>23</v>
      </c>
      <c r="L36" s="1" t="s">
        <v>24</v>
      </c>
      <c r="M36" s="1" t="s">
        <v>25</v>
      </c>
      <c r="N36" s="1" t="s">
        <v>26</v>
      </c>
      <c r="O36" s="1" t="s">
        <v>27</v>
      </c>
      <c r="P36" s="1">
        <f>CHOOSE(MATCH(O36,{"Less than 1 year","1-3 years","3-5 years","More than 5 years"},0),1,2,3,4)</f>
        <v>2</v>
      </c>
      <c r="Q36" s="1" t="s">
        <v>39</v>
      </c>
      <c r="R36" s="1" t="s">
        <v>29</v>
      </c>
      <c r="S36" s="1" t="s">
        <v>30</v>
      </c>
      <c r="T36" s="1" t="s">
        <v>40</v>
      </c>
      <c r="U36" s="1" t="s">
        <v>25</v>
      </c>
      <c r="V36" s="1" t="s">
        <v>32</v>
      </c>
      <c r="W36" s="1" t="s">
        <v>33</v>
      </c>
      <c r="X36" s="1" t="s">
        <v>34</v>
      </c>
      <c r="Y36" s="1" t="s">
        <v>43</v>
      </c>
    </row>
    <row r="37" spans="1:25" x14ac:dyDescent="0.35">
      <c r="A37" s="1" t="s">
        <v>44</v>
      </c>
      <c r="B37" s="1">
        <v>30</v>
      </c>
      <c r="C37" s="1" t="s">
        <v>23</v>
      </c>
      <c r="D37" s="1">
        <v>1</v>
      </c>
      <c r="E37" s="1">
        <v>4</v>
      </c>
      <c r="F37" s="1">
        <v>6</v>
      </c>
      <c r="G37" s="1">
        <v>5</v>
      </c>
      <c r="H37" s="1">
        <v>3</v>
      </c>
      <c r="I37" s="1">
        <v>2</v>
      </c>
      <c r="J37" s="1">
        <v>7</v>
      </c>
      <c r="K37" s="1" t="s">
        <v>23</v>
      </c>
      <c r="L37" s="1" t="s">
        <v>58</v>
      </c>
      <c r="M37" s="1" t="s">
        <v>61</v>
      </c>
      <c r="N37" s="1" t="s">
        <v>26</v>
      </c>
      <c r="O37" s="1" t="s">
        <v>45</v>
      </c>
      <c r="P37" s="1">
        <f>CHOOSE(MATCH(O37,{"Less than 1 year","1-3 years","3-5 years","More than 5 years"},0),1,2,3,4)</f>
        <v>3</v>
      </c>
      <c r="Q37" s="1" t="s">
        <v>28</v>
      </c>
      <c r="R37" s="1" t="s">
        <v>29</v>
      </c>
      <c r="S37" s="1" t="s">
        <v>63</v>
      </c>
      <c r="T37" s="1" t="s">
        <v>40</v>
      </c>
      <c r="U37" s="1" t="s">
        <v>25</v>
      </c>
      <c r="V37" s="1" t="s">
        <v>32</v>
      </c>
      <c r="W37" s="1" t="s">
        <v>49</v>
      </c>
      <c r="X37" s="1" t="s">
        <v>34</v>
      </c>
      <c r="Y37" s="1" t="s">
        <v>43</v>
      </c>
    </row>
    <row r="38" spans="1:25" x14ac:dyDescent="0.35">
      <c r="A38" s="1" t="s">
        <v>44</v>
      </c>
      <c r="B38" s="1">
        <v>30</v>
      </c>
      <c r="C38" s="1" t="s">
        <v>23</v>
      </c>
      <c r="D38" s="1">
        <v>2</v>
      </c>
      <c r="E38" s="1">
        <v>4</v>
      </c>
      <c r="F38" s="1">
        <v>7</v>
      </c>
      <c r="G38" s="1">
        <v>5</v>
      </c>
      <c r="H38" s="1">
        <v>1</v>
      </c>
      <c r="I38" s="1">
        <v>3</v>
      </c>
      <c r="J38" s="1">
        <v>6</v>
      </c>
      <c r="K38" s="1" t="s">
        <v>23</v>
      </c>
      <c r="L38" s="1" t="s">
        <v>24</v>
      </c>
      <c r="M38" s="1" t="s">
        <v>25</v>
      </c>
      <c r="N38" s="1" t="s">
        <v>26</v>
      </c>
      <c r="O38" s="1" t="s">
        <v>27</v>
      </c>
      <c r="P38" s="1">
        <f>CHOOSE(MATCH(O38,{"Less than 1 year","1-3 years","3-5 years","More than 5 years"},0),1,2,3,4)</f>
        <v>2</v>
      </c>
      <c r="Q38" s="1" t="s">
        <v>28</v>
      </c>
      <c r="R38" s="1" t="s">
        <v>29</v>
      </c>
      <c r="S38" s="1" t="s">
        <v>47</v>
      </c>
      <c r="T38" s="1" t="s">
        <v>31</v>
      </c>
      <c r="U38" s="1" t="s">
        <v>25</v>
      </c>
      <c r="V38" s="1" t="s">
        <v>32</v>
      </c>
      <c r="W38" s="1" t="s">
        <v>49</v>
      </c>
      <c r="X38" s="1" t="s">
        <v>57</v>
      </c>
      <c r="Y38" s="1" t="s">
        <v>35</v>
      </c>
    </row>
    <row r="39" spans="1:25" x14ac:dyDescent="0.35">
      <c r="A39" s="1" t="s">
        <v>44</v>
      </c>
      <c r="B39" s="1">
        <v>25</v>
      </c>
      <c r="C39" s="1" t="s">
        <v>23</v>
      </c>
      <c r="D39" s="1">
        <v>5</v>
      </c>
      <c r="E39" s="1">
        <v>4</v>
      </c>
      <c r="F39" s="1">
        <v>7</v>
      </c>
      <c r="G39" s="1">
        <v>6</v>
      </c>
      <c r="H39" s="1">
        <v>1</v>
      </c>
      <c r="I39" s="1">
        <v>2</v>
      </c>
      <c r="J39" s="1">
        <v>3</v>
      </c>
      <c r="K39" s="1" t="s">
        <v>23</v>
      </c>
      <c r="L39" s="1" t="s">
        <v>58</v>
      </c>
      <c r="M39" s="1" t="s">
        <v>61</v>
      </c>
      <c r="N39" s="1" t="s">
        <v>62</v>
      </c>
      <c r="O39" s="1" t="s">
        <v>45</v>
      </c>
      <c r="P39" s="1">
        <f>CHOOSE(MATCH(O39,{"Less than 1 year","1-3 years","3-5 years","More than 5 years"},0),1,2,3,4)</f>
        <v>3</v>
      </c>
      <c r="Q39" s="1" t="s">
        <v>28</v>
      </c>
      <c r="R39" s="1" t="s">
        <v>59</v>
      </c>
      <c r="S39" s="1" t="s">
        <v>65</v>
      </c>
      <c r="T39" s="1" t="s">
        <v>40</v>
      </c>
      <c r="U39" s="1" t="s">
        <v>25</v>
      </c>
      <c r="V39" s="1" t="s">
        <v>32</v>
      </c>
      <c r="W39" s="1" t="s">
        <v>33</v>
      </c>
      <c r="X39" s="1" t="s">
        <v>34</v>
      </c>
      <c r="Y39" s="1" t="s">
        <v>43</v>
      </c>
    </row>
    <row r="40" spans="1:25" x14ac:dyDescent="0.35">
      <c r="A40" s="1" t="s">
        <v>44</v>
      </c>
      <c r="B40" s="1">
        <v>31</v>
      </c>
      <c r="C40" s="1" t="s">
        <v>23</v>
      </c>
      <c r="D40" s="1">
        <v>2</v>
      </c>
      <c r="E40" s="1">
        <v>4</v>
      </c>
      <c r="F40" s="1">
        <v>7</v>
      </c>
      <c r="G40" s="1">
        <v>5</v>
      </c>
      <c r="H40" s="1">
        <v>3</v>
      </c>
      <c r="I40" s="1">
        <v>1</v>
      </c>
      <c r="J40" s="1">
        <v>6</v>
      </c>
      <c r="K40" s="1" t="s">
        <v>23</v>
      </c>
      <c r="L40" s="1" t="s">
        <v>58</v>
      </c>
      <c r="M40" s="1" t="s">
        <v>61</v>
      </c>
      <c r="N40" s="1" t="s">
        <v>26</v>
      </c>
      <c r="O40" s="1" t="s">
        <v>27</v>
      </c>
      <c r="P40" s="1">
        <f>CHOOSE(MATCH(O40,{"Less than 1 year","1-3 years","3-5 years","More than 5 years"},0),1,2,3,4)</f>
        <v>2</v>
      </c>
      <c r="Q40" s="1" t="s">
        <v>39</v>
      </c>
      <c r="R40" s="1" t="s">
        <v>29</v>
      </c>
      <c r="S40" s="1" t="s">
        <v>47</v>
      </c>
      <c r="T40" s="1" t="s">
        <v>40</v>
      </c>
      <c r="U40" s="1" t="s">
        <v>41</v>
      </c>
      <c r="V40" s="1" t="s">
        <v>54</v>
      </c>
      <c r="W40" s="1" t="s">
        <v>49</v>
      </c>
      <c r="X40" s="1" t="s">
        <v>34</v>
      </c>
      <c r="Y40" s="1" t="s">
        <v>35</v>
      </c>
    </row>
    <row r="41" spans="1:25" x14ac:dyDescent="0.35">
      <c r="A41" s="1" t="s">
        <v>44</v>
      </c>
      <c r="B41" s="1">
        <v>29</v>
      </c>
      <c r="C41" s="1" t="s">
        <v>23</v>
      </c>
      <c r="D41" s="1">
        <v>4</v>
      </c>
      <c r="E41" s="1">
        <v>3</v>
      </c>
      <c r="F41" s="1">
        <v>5</v>
      </c>
      <c r="G41" s="1">
        <v>7</v>
      </c>
      <c r="H41" s="1">
        <v>2</v>
      </c>
      <c r="I41" s="1">
        <v>1</v>
      </c>
      <c r="J41" s="1">
        <v>6</v>
      </c>
      <c r="K41" s="1" t="s">
        <v>23</v>
      </c>
      <c r="L41" s="1" t="s">
        <v>24</v>
      </c>
      <c r="M41" s="1" t="s">
        <v>25</v>
      </c>
      <c r="N41" s="1" t="s">
        <v>26</v>
      </c>
      <c r="O41" s="1" t="s">
        <v>45</v>
      </c>
      <c r="P41" s="1">
        <f>CHOOSE(MATCH(O41,{"Less than 1 year","1-3 years","3-5 years","More than 5 years"},0),1,2,3,4)</f>
        <v>3</v>
      </c>
      <c r="Q41" s="1" t="s">
        <v>28</v>
      </c>
      <c r="R41" s="1" t="s">
        <v>29</v>
      </c>
      <c r="S41" s="1" t="s">
        <v>63</v>
      </c>
      <c r="T41" s="1" t="s">
        <v>31</v>
      </c>
      <c r="U41" s="1" t="s">
        <v>41</v>
      </c>
      <c r="V41" s="1" t="s">
        <v>32</v>
      </c>
      <c r="W41" s="1" t="s">
        <v>33</v>
      </c>
      <c r="X41" s="1" t="s">
        <v>34</v>
      </c>
      <c r="Y41" s="1" t="s">
        <v>43</v>
      </c>
    </row>
    <row r="43" spans="1:25" ht="15" thickBot="1" x14ac:dyDescent="0.4">
      <c r="E43" s="4" t="s">
        <v>67</v>
      </c>
    </row>
    <row r="44" spans="1:25" ht="15.5" thickTop="1" thickBot="1" x14ac:dyDescent="0.4">
      <c r="C44" s="4" t="s">
        <v>66</v>
      </c>
      <c r="E44" s="5">
        <f>AVERAGE(Data_set_2___Copy[[#All],[AGE]])</f>
        <v>27.8</v>
      </c>
      <c r="G44" t="s">
        <v>68</v>
      </c>
    </row>
    <row r="45" spans="1:25" ht="15" thickTop="1" x14ac:dyDescent="0.35">
      <c r="C45" s="2">
        <f>COUNTA(Data_set_2___Copy[#All])</f>
        <v>1025</v>
      </c>
      <c r="G45" s="6">
        <f>_xlfn.STDEV.P(B2:B42)</f>
        <v>3.5156791662493889</v>
      </c>
    </row>
    <row r="48" spans="1:25" x14ac:dyDescent="0.35">
      <c r="E48" s="3" t="s">
        <v>72</v>
      </c>
    </row>
    <row r="49" spans="1:5" x14ac:dyDescent="0.35">
      <c r="E49" s="9">
        <f>MEDIAN(Data_set_2___Copy[[#All],[AGE]])</f>
        <v>27</v>
      </c>
    </row>
    <row r="52" spans="1:5" x14ac:dyDescent="0.35">
      <c r="A52" s="3"/>
    </row>
    <row r="53" spans="1:5" x14ac:dyDescent="0.35">
      <c r="A53" s="15"/>
    </row>
    <row r="55" spans="1:5" x14ac:dyDescent="0.35">
      <c r="A55" s="3"/>
    </row>
  </sheetData>
  <conditionalFormatting sqref="P1">
    <cfRule type="cellIs" dxfId="1" priority="1" operator="greaterThan">
      <formula>1</formula>
    </cfRule>
  </conditionalFormatting>
  <conditionalFormatting sqref="P1:P41">
    <cfRule type="cellIs" dxfId="0" priority="2" operator="greaterThan">
      <formula>2</formula>
    </cfRule>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A113-7303-455A-8A91-B7CA0FD27989}">
  <dimension ref="A1:T18"/>
  <sheetViews>
    <sheetView tabSelected="1" workbookViewId="0">
      <pane ySplit="1" topLeftCell="A18" activePane="bottomLeft" state="frozen"/>
      <selection pane="bottomLeft" activeCell="E29" sqref="E29"/>
    </sheetView>
  </sheetViews>
  <sheetFormatPr defaultRowHeight="14.5" x14ac:dyDescent="0.35"/>
  <cols>
    <col min="1" max="16384" width="8.7265625" style="16"/>
  </cols>
  <sheetData>
    <row r="1" spans="1:20" ht="28.5" x14ac:dyDescent="0.35">
      <c r="A1" s="17" t="s">
        <v>91</v>
      </c>
      <c r="B1" s="17"/>
      <c r="C1" s="17"/>
      <c r="D1" s="17"/>
      <c r="E1" s="17"/>
      <c r="F1" s="17"/>
      <c r="G1" s="17"/>
      <c r="H1" s="17"/>
      <c r="I1" s="17"/>
      <c r="J1" s="17"/>
      <c r="K1" s="17"/>
      <c r="L1" s="17"/>
      <c r="M1" s="17"/>
      <c r="N1" s="17"/>
      <c r="O1" s="17"/>
      <c r="P1" s="17"/>
      <c r="Q1" s="17"/>
      <c r="R1" s="17"/>
      <c r="S1" s="17"/>
      <c r="T1" s="17"/>
    </row>
    <row r="2" spans="1:20" ht="23.5" x14ac:dyDescent="0.35">
      <c r="A2" s="18" t="s">
        <v>85</v>
      </c>
      <c r="B2" s="18"/>
      <c r="C2" s="18"/>
      <c r="D2" s="18"/>
      <c r="E2" s="18"/>
      <c r="F2" s="18"/>
      <c r="G2" s="18"/>
      <c r="H2" s="19" t="s">
        <v>87</v>
      </c>
      <c r="I2" s="19"/>
      <c r="J2" s="19"/>
      <c r="K2" s="19"/>
      <c r="L2" s="19"/>
      <c r="M2" s="19"/>
      <c r="N2" s="19"/>
      <c r="O2" s="19"/>
    </row>
    <row r="8" spans="1:20" ht="23.5" x14ac:dyDescent="0.35">
      <c r="P8" s="22" t="s">
        <v>90</v>
      </c>
      <c r="Q8" s="22"/>
      <c r="R8" s="22"/>
      <c r="S8" s="22"/>
    </row>
    <row r="9" spans="1:20" ht="23.5" x14ac:dyDescent="0.35">
      <c r="A9" s="18" t="s">
        <v>86</v>
      </c>
      <c r="B9" s="18"/>
      <c r="C9" s="18"/>
      <c r="D9" s="18"/>
      <c r="E9" s="18"/>
      <c r="F9" s="18"/>
      <c r="G9" s="18"/>
    </row>
    <row r="18" spans="1:19" ht="23.5" x14ac:dyDescent="0.35">
      <c r="A18" s="20" t="s">
        <v>88</v>
      </c>
      <c r="B18" s="20"/>
      <c r="C18" s="20"/>
      <c r="D18" s="20"/>
      <c r="E18" s="20"/>
      <c r="F18" s="20"/>
      <c r="G18" s="20"/>
      <c r="H18" s="21" t="s">
        <v>89</v>
      </c>
      <c r="I18" s="21"/>
      <c r="J18" s="21"/>
      <c r="K18" s="21"/>
      <c r="L18" s="21"/>
      <c r="M18" s="21"/>
      <c r="N18" s="21"/>
      <c r="O18" s="21"/>
      <c r="P18" s="21"/>
      <c r="Q18" s="21"/>
      <c r="R18" s="21"/>
      <c r="S18" s="21"/>
    </row>
  </sheetData>
  <mergeCells count="7">
    <mergeCell ref="A1:T1"/>
    <mergeCell ref="A2:G2"/>
    <mergeCell ref="A9:G9"/>
    <mergeCell ref="H2:O2"/>
    <mergeCell ref="A18:G18"/>
    <mergeCell ref="H18:S18"/>
    <mergeCell ref="P8:S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8712C-5F16-4B4C-96AB-FE905D2324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GENDER_DISTRIBUTION</vt:lpstr>
      <vt:lpstr>PREFERED_INVESTMENT_AVENUE</vt:lpstr>
      <vt:lpstr>REASONS</vt:lpstr>
      <vt:lpstr>SAVINGS OF OBEJECTIVE</vt:lpstr>
      <vt:lpstr>INFORMATION_SOURCE</vt:lpstr>
      <vt:lpstr>DURATION</vt:lpstr>
      <vt:lpstr>EXPECTATION</vt:lpstr>
      <vt:lpstr>Data_set 2 - Copy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sridhara panigrahy</dc:creator>
  <cp:lastModifiedBy>sridhara panigrahy</cp:lastModifiedBy>
  <dcterms:created xsi:type="dcterms:W3CDTF">2025-11-05T01:55:24Z</dcterms:created>
  <dcterms:modified xsi:type="dcterms:W3CDTF">2025-11-05T09:12:29Z</dcterms:modified>
</cp:coreProperties>
</file>